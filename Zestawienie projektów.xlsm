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Jakub\Desktop\raport\"/>
    </mc:Choice>
  </mc:AlternateContent>
  <bookViews>
    <workbookView xWindow="0" yWindow="0" windowWidth="20490" windowHeight="7620" firstSheet="2" activeTab="2"/>
  </bookViews>
  <sheets>
    <sheet name="pomocniczy" sheetId="24" state="hidden" r:id="rId1"/>
    <sheet name="Pomocniczy2" sheetId="25" state="hidden" r:id="rId2"/>
    <sheet name="Arkusz" sheetId="1" r:id="rId3"/>
  </sheets>
  <definedNames>
    <definedName name="_xlnm._FilterDatabase" localSheetId="2" hidden="1">Arkusz!$A$1:$E$1</definedName>
    <definedName name="status">Arkusz!$AA$1:$AC$1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7" i="24" l="1"/>
  <c r="R7" i="24"/>
  <c r="Q7" i="24"/>
  <c r="P7" i="24"/>
  <c r="O7" i="24"/>
  <c r="N7" i="24"/>
  <c r="A5" i="24" l="1"/>
</calcChain>
</file>

<file path=xl/sharedStrings.xml><?xml version="1.0" encoding="utf-8"?>
<sst xmlns="http://schemas.openxmlformats.org/spreadsheetml/2006/main" count="65" uniqueCount="50">
  <si>
    <t>Numer projektu</t>
  </si>
  <si>
    <t>Klient</t>
  </si>
  <si>
    <t>Nazwa</t>
  </si>
  <si>
    <t>Lp.</t>
  </si>
  <si>
    <t>Termin</t>
  </si>
  <si>
    <t>PROWADZĄCY W DZIALE ZAKUPÓW</t>
  </si>
  <si>
    <t>UWAGI/ KOMENTARZE</t>
  </si>
  <si>
    <t>MATERIAŁY</t>
  </si>
  <si>
    <t>RAZEM PLANOWANA WARTOŚĆ ZAMÓWIEŃ/ OFERTA</t>
  </si>
  <si>
    <t>WARTOŚĆ ZAMÓWIEŃ NARASTAJĄCO</t>
  </si>
  <si>
    <r>
      <t>Numer oferty</t>
    </r>
    <r>
      <rPr>
        <i/>
        <sz val="11"/>
        <color theme="1"/>
        <rFont val="Calibri"/>
        <family val="2"/>
        <charset val="238"/>
        <scheme val="minor"/>
      </rPr>
      <t xml:space="preserve"> (uzupełni Dyrektor Produkcji)</t>
    </r>
  </si>
  <si>
    <t>Numer dokumentu</t>
  </si>
  <si>
    <t>Data wyst.</t>
  </si>
  <si>
    <t>Termin dostawy</t>
  </si>
  <si>
    <t>16.DATA_DOSTAWY (Atrybut)</t>
  </si>
  <si>
    <t>Kontrahent</t>
  </si>
  <si>
    <t>13.STATUS (Atrybut)</t>
  </si>
  <si>
    <t>Status</t>
  </si>
  <si>
    <t>02.NR PROJEKTU (Atrybut)</t>
  </si>
  <si>
    <t>03.NR_PROJEKTU_DZ (Atrybut)</t>
  </si>
  <si>
    <t>FZ - Numer obcy</t>
  </si>
  <si>
    <t>Wprowadził(a)</t>
  </si>
  <si>
    <t>Netto</t>
  </si>
  <si>
    <t>Brutto</t>
  </si>
  <si>
    <t>Netto w walucie</t>
  </si>
  <si>
    <t>Brutto w walucie</t>
  </si>
  <si>
    <t>Waluta</t>
  </si>
  <si>
    <t>04.ADRES_DOSTAWY (Atrybut)</t>
  </si>
  <si>
    <t>Opis</t>
  </si>
  <si>
    <t>01.NR_ZAPOTRZEBOW. (Atrybut)</t>
  </si>
  <si>
    <t>05.FORMA_DOSTAWY (Atrybut)</t>
  </si>
  <si>
    <t>07.UWAGI (Atrybut)</t>
  </si>
  <si>
    <t>09.DOKUMENTACJA (Atrybut)</t>
  </si>
  <si>
    <t>06.OSOBA_KONTAKTOWA (Atrybut)</t>
  </si>
  <si>
    <t>11.OPIS (Atrybut)</t>
  </si>
  <si>
    <t>12.UWAGI (Atrybut)</t>
  </si>
  <si>
    <t>W realizacji</t>
  </si>
  <si>
    <t>ODCHYLENIA W WARTOŚCI ZAMÓWIEŃ</t>
  </si>
  <si>
    <t>% POZIOM WYKORZYSTANIA WARTOŚCI ZAMÓWIEŃ</t>
  </si>
  <si>
    <t>% ZREALIZOWANYCH ZAMÓWIEŃ</t>
  </si>
  <si>
    <t>Status zamówienia</t>
  </si>
  <si>
    <t>Zakończone</t>
  </si>
  <si>
    <t>-</t>
  </si>
  <si>
    <t>w realizacji</t>
  </si>
  <si>
    <t>zakończone</t>
  </si>
  <si>
    <t>USŁUGI KOOPERACJA</t>
  </si>
  <si>
    <t>USŁUGI PROJEKTOWE</t>
  </si>
  <si>
    <t>USŁUGI RAZEM</t>
  </si>
  <si>
    <t>USŁUGI INNE (RTG, izolacja)</t>
  </si>
  <si>
    <t>PLANOWANA WARTOŚĆ ZAMÓWIEŃ/ OFERTA (uzupełni Dyrektor Produkcji)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</si>
</sst>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zł&quot;_-;\-* #,##0.00\ &quot;zł&quot;_-;_-* &quot;-&quot;??\ &quot;zł&quot;_-;_-@_-"/>
  </numFmts>
  <fonts count="11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006100"/>
      <name val="Calibri"/>
      <family val="2"/>
      <charset val="238"/>
      <scheme val="minor"/>
    </font>
    <font>
      <b/>
      <sz val="9"/>
      <color rgb="FF3F3F3F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indexed="64"/>
      </bottom>
      <diagonal/>
    </border>
  </borders>
  <cellStyleXfs count="5">
    <xf numFmtId="0" fontId="0" fillId="0" borderId="0"/>
    <xf numFmtId="0" fontId="3" fillId="3" borderId="0" applyNumberFormat="0" applyBorder="0" applyAlignment="0" applyProtection="0"/>
    <xf numFmtId="0" fontId="4" fillId="4" borderId="2" applyNumberFormat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</cellStyleXfs>
  <cellXfs count="2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8" fillId="6" borderId="1" xfId="0" applyFont="1" applyFill="1" applyBorder="1" applyAlignment="1">
      <alignment vertical="center"/>
    </xf>
    <xf numFmtId="0" fontId="8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vertical="center" wrapText="1"/>
    </xf>
    <xf numFmtId="0" fontId="8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4" fontId="0" fillId="0" borderId="0" xfId="3" applyFont="1"/>
    <xf numFmtId="44" fontId="2" fillId="0" borderId="1" xfId="3" applyFont="1" applyBorder="1" applyAlignment="1">
      <alignment horizontal="center" vertical="center" wrapText="1"/>
    </xf>
    <xf numFmtId="44" fontId="6" fillId="5" borderId="1" xfId="3" applyFont="1" applyFill="1" applyBorder="1" applyAlignment="1">
      <alignment horizontal="center" vertical="center" wrapText="1"/>
    </xf>
    <xf numFmtId="9" fontId="0" fillId="0" borderId="0" xfId="4" applyFont="1"/>
    <xf numFmtId="9" fontId="6" fillId="5" borderId="1" xfId="4" applyFont="1" applyFill="1" applyBorder="1" applyAlignment="1">
      <alignment horizontal="center" vertical="center" wrapText="1"/>
    </xf>
    <xf numFmtId="0" fontId="6" fillId="5" borderId="1" xfId="2" applyFont="1" applyFill="1" applyBorder="1" applyAlignment="1">
      <alignment horizontal="center" vertical="center" wrapText="1"/>
    </xf>
    <xf numFmtId="44" fontId="0" fillId="0" borderId="0" xfId="3" applyFont="1" applyAlignment="1">
      <alignment horizontal="center" vertical="center"/>
    </xf>
    <xf numFmtId="44" fontId="6" fillId="5" borderId="4" xfId="3" applyFont="1" applyFill="1" applyBorder="1" applyAlignment="1">
      <alignment horizontal="center" vertical="center" wrapText="1"/>
    </xf>
    <xf numFmtId="44" fontId="6" fillId="5" borderId="5" xfId="3" applyFont="1" applyFill="1" applyBorder="1" applyAlignment="1">
      <alignment horizontal="center" vertical="center" wrapText="1"/>
    </xf>
    <xf numFmtId="44" fontId="2" fillId="0" borderId="5" xfId="3" applyFont="1" applyBorder="1" applyAlignment="1">
      <alignment horizontal="center" vertical="center" wrapText="1"/>
    </xf>
    <xf numFmtId="44" fontId="6" fillId="5" borderId="3" xfId="3" applyFont="1" applyFill="1" applyBorder="1" applyAlignment="1">
      <alignment horizontal="center" vertical="center" wrapText="1"/>
    </xf>
    <xf numFmtId="44" fontId="2" fillId="0" borderId="3" xfId="3" applyFont="1" applyBorder="1" applyAlignment="1">
      <alignment horizontal="center" vertical="center" wrapText="1"/>
    </xf>
    <xf numFmtId="44" fontId="0" fillId="0" borderId="0" xfId="3" applyFont="1" applyBorder="1"/>
    <xf numFmtId="0" fontId="5" fillId="3" borderId="0" xfId="1" applyFont="1" applyAlignment="1">
      <alignment horizontal="center" vertical="center"/>
    </xf>
    <xf numFmtId="44" fontId="5" fillId="3" borderId="6" xfId="3" applyFont="1" applyFill="1" applyBorder="1" applyAlignment="1">
      <alignment vertical="center"/>
    </xf>
    <xf numFmtId="44" fontId="5" fillId="3" borderId="7" xfId="3" applyFont="1" applyFill="1" applyBorder="1" applyAlignment="1">
      <alignment vertical="center"/>
    </xf>
    <xf numFmtId="44" fontId="5" fillId="3" borderId="8" xfId="3" applyFont="1" applyFill="1" applyBorder="1" applyAlignment="1">
      <alignment vertical="center"/>
    </xf>
  </cellXfs>
  <cellStyles count="5">
    <cellStyle name="Dane wyjściowe" xfId="2" builtinId="21"/>
    <cellStyle name="Dobry" xfId="1" builtinId="26"/>
    <cellStyle name="Normalny" xfId="0" builtinId="0"/>
    <cellStyle name="Procentowy" xfId="4" builtinId="5"/>
    <cellStyle name="Walutowy" xfId="3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</xdr:row>
          <xdr:rowOff>76200</xdr:rowOff>
        </xdr:from>
        <xdr:to>
          <xdr:col>4</xdr:col>
          <xdr:colOff>971550</xdr:colOff>
          <xdr:row>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Przygotuj Raport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Y7"/>
  <sheetViews>
    <sheetView workbookViewId="0">
      <selection activeCell="U7" sqref="U7"/>
    </sheetView>
  </sheetViews>
  <sheetFormatPr defaultRowHeight="15" x14ac:dyDescent="0.25"/>
  <cols>
    <col min="1" max="1" width="5.28515625" customWidth="1"/>
    <col min="2" max="2" width="15.42578125" customWidth="1"/>
    <col min="3" max="3" width="17.85546875" customWidth="1"/>
    <col min="4" max="4" width="25.42578125" customWidth="1"/>
    <col min="5" max="5" width="15.140625" customWidth="1"/>
    <col min="6" max="7" width="13.85546875" customWidth="1"/>
    <col min="8" max="11" width="14.42578125" customWidth="1"/>
    <col min="12" max="12" width="12.140625" customWidth="1"/>
    <col min="13" max="13" width="26.42578125" customWidth="1"/>
    <col min="14" max="14" width="18.42578125" customWidth="1"/>
    <col min="15" max="18" width="15" customWidth="1"/>
    <col min="19" max="19" width="23.5703125" customWidth="1"/>
    <col min="20" max="20" width="24.5703125" customWidth="1"/>
    <col min="21" max="21" width="11.85546875" customWidth="1"/>
    <col min="22" max="22" width="14.28515625" customWidth="1"/>
    <col min="23" max="23" width="15" customWidth="1"/>
    <col min="24" max="24" width="11.140625" customWidth="1"/>
    <col min="25" max="25" width="14" customWidth="1"/>
  </cols>
  <sheetData>
    <row r="1" spans="1:25" x14ac:dyDescent="0.25">
      <c r="A1" s="9"/>
      <c r="B1" s="9"/>
      <c r="C1" s="9"/>
      <c r="D1" s="9"/>
      <c r="E1" s="9"/>
      <c r="F1" s="10"/>
      <c r="G1" s="10"/>
      <c r="H1" s="9"/>
      <c r="I1" s="9"/>
    </row>
    <row r="2" spans="1:25" x14ac:dyDescent="0.25">
      <c r="A2" t="s">
        <v>36</v>
      </c>
    </row>
    <row r="3" spans="1:25" x14ac:dyDescent="0.25">
      <c r="A3" t="s">
        <v>41</v>
      </c>
    </row>
    <row r="5" spans="1:25" x14ac:dyDescent="0.25">
      <c r="A5" s="24" t="str">
        <f ca="1">CONCATENATE("RAPORT DZIAŁU ZAKUPÓW - TYDZIEŃ ",WEEKNUM(TODAY(),21))</f>
        <v>RAPORT DZIAŁU ZAKUPÓW - TYDZIEŃ 22</v>
      </c>
      <c r="B5" s="24"/>
      <c r="C5" s="24"/>
      <c r="D5" s="24"/>
      <c r="E5" s="9"/>
      <c r="F5" s="10"/>
      <c r="G5" s="10"/>
      <c r="H5" s="17"/>
      <c r="I5" s="17"/>
      <c r="J5" s="17"/>
      <c r="K5" s="17"/>
      <c r="L5" s="17"/>
      <c r="M5" s="11"/>
      <c r="N5" s="11"/>
      <c r="O5" s="11"/>
      <c r="P5" s="11"/>
      <c r="Q5" s="14"/>
      <c r="R5" s="14"/>
    </row>
    <row r="6" spans="1:25" ht="15" customHeight="1" x14ac:dyDescent="0.25">
      <c r="C6" s="9"/>
      <c r="D6" s="9"/>
      <c r="E6" s="9"/>
      <c r="F6" s="10"/>
      <c r="G6" s="10"/>
      <c r="H6" s="25"/>
      <c r="I6" s="26" t="s">
        <v>49</v>
      </c>
      <c r="J6" s="26"/>
      <c r="K6" s="26"/>
      <c r="L6" s="26"/>
      <c r="M6" s="27"/>
      <c r="N6" s="11"/>
      <c r="O6" s="11"/>
      <c r="P6" s="11"/>
      <c r="Q6" s="14"/>
      <c r="R6" s="14"/>
    </row>
    <row r="7" spans="1:25" ht="105" customHeight="1" x14ac:dyDescent="0.25">
      <c r="A7" s="2" t="s">
        <v>3</v>
      </c>
      <c r="B7" s="3" t="s">
        <v>0</v>
      </c>
      <c r="C7" s="3" t="s">
        <v>10</v>
      </c>
      <c r="D7" s="3" t="s">
        <v>2</v>
      </c>
      <c r="E7" s="3" t="s">
        <v>1</v>
      </c>
      <c r="F7" s="3" t="s">
        <v>4</v>
      </c>
      <c r="G7" s="3" t="s">
        <v>40</v>
      </c>
      <c r="H7" s="13" t="s">
        <v>7</v>
      </c>
      <c r="I7" s="13" t="s">
        <v>45</v>
      </c>
      <c r="J7" s="13" t="s">
        <v>46</v>
      </c>
      <c r="K7" s="21" t="s">
        <v>48</v>
      </c>
      <c r="L7" s="19" t="s">
        <v>47</v>
      </c>
      <c r="M7" s="18" t="s">
        <v>8</v>
      </c>
      <c r="N7" s="13" t="str">
        <f ca="1">CONCATENATE("WARTOŚĆ ZAMÓWIEŃ W TYG. ",WEEKNUM(TODAY(),21)," NETTO")</f>
        <v>WARTOŚĆ ZAMÓWIEŃ W TYG. 22 NETTO</v>
      </c>
      <c r="O7" s="13" t="str">
        <f>CONCATENATE(T7, " ",H7)</f>
        <v>WARTOŚĆ ZAMÓWIEŃ NARASTAJĄCO MATERIAŁY</v>
      </c>
      <c r="P7" s="13" t="str">
        <f>CONCATENATE(T7, " ",I7)</f>
        <v>WARTOŚĆ ZAMÓWIEŃ NARASTAJĄCO USŁUGI KOOPERACJA</v>
      </c>
      <c r="Q7" s="13" t="str">
        <f>CONCATENATE(T7, " ",J7)</f>
        <v>WARTOŚĆ ZAMÓWIEŃ NARASTAJĄCO USŁUGI PROJEKTOWE</v>
      </c>
      <c r="R7" s="13" t="str">
        <f>CONCATENATE(T7, " ",K7)</f>
        <v>WARTOŚĆ ZAMÓWIEŃ NARASTAJĄCO USŁUGI INNE (RTG, izolacja)</v>
      </c>
      <c r="S7" s="13" t="str">
        <f>CONCATENATE(T7, " ",L7)</f>
        <v>WARTOŚĆ ZAMÓWIEŃ NARASTAJĄCO USŁUGI RAZEM</v>
      </c>
      <c r="T7" s="13" t="s">
        <v>9</v>
      </c>
      <c r="U7" s="13" t="s">
        <v>37</v>
      </c>
      <c r="V7" s="15" t="s">
        <v>38</v>
      </c>
      <c r="W7" s="15" t="s">
        <v>39</v>
      </c>
      <c r="X7" s="16" t="s">
        <v>6</v>
      </c>
      <c r="Y7" s="16" t="s">
        <v>5</v>
      </c>
    </row>
  </sheetData>
  <protectedRanges>
    <protectedRange sqref="M7" name="dane tabeli_2"/>
  </protectedRanges>
  <mergeCells count="1">
    <mergeCell ref="A5:D5"/>
  </mergeCells>
  <dataValidations count="1">
    <dataValidation type="list" allowBlank="1" showInputMessage="1" showErrorMessage="1" sqref="G5:G7">
      <formula1>status</formula1>
    </dataValidation>
  </dataValidations>
  <hyperlinks>
    <hyperlink ref="B7" location="'Numer projektu'!A1" display="Numer projektu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wyglad">
                <anchor moveWithCells="1" sizeWithCells="1">
                  <from>
                    <xdr:col>3</xdr:col>
                    <xdr:colOff>133350</xdr:colOff>
                    <xdr:row>1</xdr:row>
                    <xdr:rowOff>76200</xdr:rowOff>
                  </from>
                  <to>
                    <xdr:col>4</xdr:col>
                    <xdr:colOff>971550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4" id="{D5C4FCBA-F538-4633-BA55-8E2A63EB346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5" id="{F4A00C9B-C3E3-43F9-8031-9014D0F3AE2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6" id="{A7220A1E-5FE4-4268-A66F-458F2262DF2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7" id="{E35E2ACD-8699-4315-977D-B3A45939956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8" id="{3E8571F9-AC67-475E-A1A1-40F3A797264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9" id="{C8EF087F-801C-4F61-BC79-363AD8544C1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0" id="{E5DEC04F-319E-4438-89C8-1EC08DD031C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1" id="{DE6548E5-92CE-4AF8-8B50-B2FDA866F4F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2" id="{FB0F9345-388C-4D23-A6A9-D85A05F38E4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3" id="{FBFF8731-C6FF-415D-9DA0-E333BE7EBEE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4" id="{3404A81B-4D38-4C6C-B22F-80AC2A31B63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5" id="{6D15B8AB-CC7E-4063-88E7-449A7684CB7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6" id="{09B4EBFF-ED43-4532-9B94-5479834884C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m:sqref>R5:R6</xm:sqref>
        </x14:conditionalFormatting>
        <x14:conditionalFormatting xmlns:xm="http://schemas.microsoft.com/office/excel/2006/main">
          <x14:cfRule type="iconSet" priority="1" id="{6FEEEC75-1EEF-459B-9D09-0AE61FD9F36D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2" id="{D2184D78-EA6B-4A5E-B418-57213A48D45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3" id="{0CF9DC7B-96C2-4CC1-938F-DAB6C2B2919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4" id="{C679C095-063E-456F-8902-44C2F641023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5" id="{0A1257E3-6F7C-4B6A-92E0-7DD3328675A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6" id="{E885EB80-6854-4355-AAC1-23DF0532155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7" id="{078AC83E-E5F9-4FBD-A315-4A2062BE3EC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8" id="{D44BF967-1A95-41E3-840D-AF0FF6EAD53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9" id="{E0919F3A-322F-4EE4-8346-D3A5EFA26B8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0" id="{718310FE-0444-496D-873D-BFD0301661A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1" id="{A10EF67C-54C3-44DE-AF0F-337372BCA42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2" id="{B01E06BD-0B88-4EB3-8A35-CF30B39A6A8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14:cfRule type="iconSet" priority="13" id="{B38C36BF-44A1-4FF3-9B70-2F75CDB352F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m:sqref>W7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9"/>
  <dimension ref="A1:Y1"/>
  <sheetViews>
    <sheetView workbookViewId="0">
      <selection sqref="A1:XFD1"/>
    </sheetView>
  </sheetViews>
  <sheetFormatPr defaultRowHeight="15" x14ac:dyDescent="0.25"/>
  <cols>
    <col min="1" max="1" width="19.42578125" customWidth="1"/>
    <col min="2" max="2" width="10.85546875" customWidth="1"/>
    <col min="3" max="3" width="12.28515625" customWidth="1"/>
    <col min="4" max="4" width="22.42578125" customWidth="1"/>
    <col min="5" max="5" width="53.85546875" customWidth="1"/>
    <col min="6" max="6" width="16" customWidth="1"/>
    <col min="7" max="7" width="17.28515625" customWidth="1"/>
    <col min="8" max="8" width="20.28515625" customWidth="1"/>
    <col min="9" max="9" width="23.42578125" customWidth="1"/>
    <col min="10" max="10" width="20.85546875" customWidth="1"/>
    <col min="11" max="11" width="27.140625" customWidth="1"/>
    <col min="12" max="12" width="13.7109375" customWidth="1"/>
    <col min="13" max="13" width="12.5703125" customWidth="1"/>
    <col min="14" max="14" width="15.5703125" customWidth="1"/>
    <col min="15" max="15" width="14.85546875" customWidth="1"/>
    <col min="16" max="16" width="8.5703125" customWidth="1"/>
    <col min="17" max="17" width="48" customWidth="1"/>
    <col min="18" max="18" width="61.7109375" customWidth="1"/>
    <col min="19" max="19" width="24.85546875" customWidth="1"/>
    <col min="20" max="20" width="23.7109375" customWidth="1"/>
    <col min="21" max="21" width="19.42578125" customWidth="1"/>
    <col min="22" max="22" width="22.140625" customWidth="1"/>
    <col min="23" max="23" width="33.28515625" customWidth="1"/>
    <col min="24" max="24" width="14" customWidth="1"/>
    <col min="25" max="25" width="64.42578125" customWidth="1"/>
  </cols>
  <sheetData>
    <row r="1" spans="1:25" x14ac:dyDescent="0.25">
      <c r="A1" s="5" t="s">
        <v>11</v>
      </c>
      <c r="B1" s="5" t="s">
        <v>12</v>
      </c>
      <c r="C1" s="5" t="s">
        <v>13</v>
      </c>
      <c r="D1" s="4" t="s">
        <v>14</v>
      </c>
      <c r="E1" s="6" t="s">
        <v>15</v>
      </c>
      <c r="F1" s="4" t="s">
        <v>16</v>
      </c>
      <c r="G1" s="7" t="s">
        <v>17</v>
      </c>
      <c r="H1" s="4" t="s">
        <v>18</v>
      </c>
      <c r="I1" s="4" t="s">
        <v>19</v>
      </c>
      <c r="J1" s="4" t="s">
        <v>20</v>
      </c>
      <c r="K1" s="4" t="s">
        <v>21</v>
      </c>
      <c r="L1" s="5" t="s">
        <v>22</v>
      </c>
      <c r="M1" s="5" t="s">
        <v>23</v>
      </c>
      <c r="N1" s="5" t="s">
        <v>24</v>
      </c>
      <c r="O1" s="5" t="s">
        <v>25</v>
      </c>
      <c r="P1" s="5" t="s">
        <v>26</v>
      </c>
      <c r="Q1" s="4" t="s">
        <v>27</v>
      </c>
      <c r="R1" s="6" t="s">
        <v>28</v>
      </c>
      <c r="S1" s="4" t="s">
        <v>29</v>
      </c>
      <c r="T1" s="4" t="s">
        <v>30</v>
      </c>
      <c r="U1" s="4" t="s">
        <v>31</v>
      </c>
      <c r="V1" s="4" t="s">
        <v>32</v>
      </c>
      <c r="W1" s="4" t="s">
        <v>33</v>
      </c>
      <c r="X1" s="4" t="s">
        <v>34</v>
      </c>
      <c r="Y1" s="4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AC4"/>
  <sheetViews>
    <sheetView tabSelected="1" zoomScale="85" zoomScaleNormal="85" workbookViewId="0">
      <selection sqref="A1:XFD2"/>
    </sheetView>
  </sheetViews>
  <sheetFormatPr defaultRowHeight="15" x14ac:dyDescent="0.25"/>
  <cols>
    <col min="1" max="1" width="5.28515625" customWidth="1"/>
    <col min="2" max="2" width="15.42578125" customWidth="1"/>
    <col min="3" max="3" width="17.85546875" customWidth="1"/>
    <col min="4" max="4" width="25.42578125" customWidth="1"/>
    <col min="5" max="5" width="15.140625" customWidth="1"/>
    <col min="6" max="7" width="13.85546875" customWidth="1"/>
    <col min="8" max="11" width="14.42578125" style="11" customWidth="1"/>
    <col min="12" max="12" width="12.140625" style="23" customWidth="1"/>
    <col min="13" max="13" width="26.42578125" style="11" customWidth="1"/>
    <col min="14" max="14" width="18.42578125" style="11" customWidth="1"/>
    <col min="15" max="18" width="15" style="11" customWidth="1"/>
    <col min="19" max="19" width="23.5703125" style="11" customWidth="1"/>
    <col min="20" max="20" width="24.5703125" style="11" customWidth="1"/>
    <col min="21" max="21" width="11.85546875" style="11" customWidth="1"/>
    <col min="22" max="22" width="14.28515625" style="14" customWidth="1"/>
    <col min="23" max="23" width="15" style="14" customWidth="1"/>
    <col min="24" max="24" width="11.140625" customWidth="1"/>
    <col min="25" max="25" width="14" customWidth="1"/>
    <col min="27" max="29" width="0" hidden="1" customWidth="1"/>
  </cols>
  <sheetData>
    <row r="1" spans="1:29" ht="72" customHeight="1" x14ac:dyDescent="0.25">
      <c r="A1" s="2" t="s">
        <v>3</v>
      </c>
      <c r="B1" s="3" t="s">
        <v>0</v>
      </c>
      <c r="C1" s="3" t="s">
        <v>10</v>
      </c>
      <c r="D1" s="3" t="s">
        <v>2</v>
      </c>
      <c r="E1" s="3" t="s">
        <v>1</v>
      </c>
      <c r="F1" s="3" t="s">
        <v>4</v>
      </c>
      <c r="G1" s="3" t="s">
        <v>40</v>
      </c>
      <c r="H1" s="13" t="s">
        <v>7</v>
      </c>
      <c r="I1" s="13" t="s">
        <v>45</v>
      </c>
      <c r="J1" s="13" t="s">
        <v>46</v>
      </c>
      <c r="K1" s="21" t="s">
        <v>48</v>
      </c>
      <c r="L1" s="19" t="s">
        <v>47</v>
      </c>
      <c r="AA1" t="s">
        <v>42</v>
      </c>
      <c r="AB1" t="s">
        <v>43</v>
      </c>
      <c r="AC1" t="s">
        <v>44</v>
      </c>
    </row>
    <row r="2" spans="1:29" x14ac:dyDescent="0.25">
      <c r="A2" s="1">
        <v>1</v>
      </c>
      <c r="B2" s="8"/>
      <c r="C2" s="8"/>
      <c r="D2" s="1"/>
      <c r="E2" s="1"/>
      <c r="F2" s="1"/>
      <c r="G2" s="1" t="s">
        <v>42</v>
      </c>
      <c r="H2" s="12"/>
      <c r="I2" s="12"/>
      <c r="J2" s="12"/>
      <c r="K2" s="22"/>
      <c r="L2" s="20"/>
    </row>
    <row r="3" spans="1:29" x14ac:dyDescent="0.25">
      <c r="A3" s="1">
        <v>2</v>
      </c>
      <c r="B3" s="8"/>
      <c r="C3" s="8"/>
      <c r="D3" s="1"/>
      <c r="E3" s="1"/>
      <c r="F3" s="1"/>
      <c r="G3" s="1" t="s">
        <v>42</v>
      </c>
      <c r="H3" s="12"/>
      <c r="I3" s="12"/>
      <c r="J3" s="12"/>
      <c r="K3" s="22"/>
      <c r="L3" s="20"/>
    </row>
    <row r="4" spans="1:29" x14ac:dyDescent="0.25">
      <c r="A4" s="1">
        <v>3</v>
      </c>
      <c r="B4" s="8"/>
      <c r="C4" s="8"/>
      <c r="D4" s="1"/>
      <c r="E4" s="1"/>
      <c r="F4" s="1"/>
      <c r="G4" s="1" t="s">
        <v>42</v>
      </c>
      <c r="H4" s="12"/>
      <c r="I4" s="12"/>
      <c r="J4" s="12"/>
      <c r="K4" s="22"/>
      <c r="L4" s="20"/>
    </row>
  </sheetData>
  <sheetProtection formatCells="0" formatColumns="0" formatRows="0"/>
  <protectedRanges>
    <protectedRange sqref="A5:A580 B6:B580 C5:T580 A2:L4 M1:T4" name="dane tabeli"/>
  </protectedRanges>
  <autoFilter ref="A1:E1"/>
  <phoneticPr fontId="1" type="noConversion"/>
  <conditionalFormatting sqref="V1:V1048576">
    <cfRule type="iconSet" priority="131">
      <iconSet reverse="1">
        <cfvo type="percent" val="0"/>
        <cfvo type="num" val="0.86"/>
        <cfvo type="num" val="1"/>
      </iconSet>
    </cfRule>
  </conditionalFormatting>
  <dataValidations count="1">
    <dataValidation type="list" allowBlank="1" showInputMessage="1" showErrorMessage="1" sqref="G1:G1048576">
      <formula1>status</formula1>
    </dataValidation>
  </dataValidations>
  <hyperlinks>
    <hyperlink ref="B1" location="'Numer projektu'!A1" display="Numer projektu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2" id="{95920211-FC89-4655-A29C-3DFE416465D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TrafficLights1" iconId="2"/>
              <x14:cfIcon iconSet="3Arrows" iconId="2"/>
            </x14:iconSet>
          </x14:cfRule>
          <xm:sqref>W1:W1048576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pomocniczy</vt:lpstr>
      <vt:lpstr>Pomocniczy2</vt:lpstr>
      <vt:lpstr>Arkusz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Krystian Graś</dc:creator>
  <cp:lastModifiedBy>Jakub</cp:lastModifiedBy>
  <cp:lastPrinted>2020-05-20T11:26:13Z</cp:lastPrinted>
  <dcterms:created xsi:type="dcterms:W3CDTF">2020-01-04T10:09:31Z</dcterms:created>
  <dcterms:modified xsi:type="dcterms:W3CDTF">2020-05-28T21:14:48Z</dcterms:modified>
</cp:coreProperties>
</file>