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240" yWindow="225" windowWidth="17235" windowHeight="6090"/>
  </bookViews>
  <sheets>
    <sheet name="Arkusz1" sheetId="1" r:id="rId1"/>
    <sheet name="Kalendarz" sheetId="2" state="hidden" r:id="rId2"/>
    <sheet name="Obciążenie Wydajność" sheetId="6" r:id="rId3"/>
    <sheet name="Przyspieszenia" sheetId="8" r:id="rId4"/>
    <sheet name="Opóźnienia" sheetId="9" r:id="rId5"/>
  </sheets>
  <functionGroups builtInGroupCount="17"/>
  <definedNames>
    <definedName name="zakres">OFFSET(#REF!,0,0,COUNTA(#REF!),COUNTA(#REF!))</definedName>
  </definedNames>
  <calcPr calcId="145621"/>
  <pivotCaches>
    <pivotCache cacheId="0" r:id="rId6"/>
  </pivotCaches>
</workbook>
</file>

<file path=xl/calcChain.xml><?xml version="1.0" encoding="utf-8"?>
<calcChain xmlns="http://schemas.openxmlformats.org/spreadsheetml/2006/main">
  <c r="A1" i="2" l="1"/>
  <c r="E2" i="2" l="1"/>
  <c r="E3" i="2"/>
  <c r="E4" i="2"/>
  <c r="E5" i="2"/>
  <c r="E6" i="2"/>
  <c r="E7" i="2"/>
  <c r="E8" i="2"/>
  <c r="E9" i="2"/>
  <c r="E10" i="2"/>
  <c r="E11" i="2"/>
  <c r="E12" i="2"/>
  <c r="E1" i="2"/>
</calcChain>
</file>

<file path=xl/sharedStrings.xml><?xml version="1.0" encoding="utf-8"?>
<sst xmlns="http://schemas.openxmlformats.org/spreadsheetml/2006/main" count="76" uniqueCount="63">
  <si>
    <t>Zakończone</t>
  </si>
  <si>
    <t>G5 PAKOWANIE</t>
  </si>
  <si>
    <t>x</t>
  </si>
  <si>
    <t>C3 LESKO M1</t>
  </si>
  <si>
    <t>C4 LASER</t>
  </si>
  <si>
    <t>D1 GIDUE COMBAT</t>
  </si>
  <si>
    <t>D2 GIDUE QUADRA</t>
  </si>
  <si>
    <t>C7 LESKO  D1</t>
  </si>
  <si>
    <t>C1 LESKO D1</t>
  </si>
  <si>
    <t>D3 DURST</t>
  </si>
  <si>
    <t>C2 LESKO D2</t>
  </si>
  <si>
    <t>G1 KONTROLA DODATKOWA</t>
  </si>
  <si>
    <t>K1 LESKO P</t>
  </si>
  <si>
    <t>G2 RÓWNANIE TTR I PAKOWANIE</t>
  </si>
  <si>
    <t>T1 KONFEKCJA TTR</t>
  </si>
  <si>
    <t>G3 DRUK TTR</t>
  </si>
  <si>
    <t>-01-01</t>
  </si>
  <si>
    <t>-01-31</t>
  </si>
  <si>
    <t>-02-01</t>
  </si>
  <si>
    <t>-02-28</t>
  </si>
  <si>
    <t>-03-01</t>
  </si>
  <si>
    <t>-03-31</t>
  </si>
  <si>
    <t>-04-01</t>
  </si>
  <si>
    <t>-04-30</t>
  </si>
  <si>
    <t>-05-01</t>
  </si>
  <si>
    <t>-05-31</t>
  </si>
  <si>
    <t>-06-01</t>
  </si>
  <si>
    <t>-06-30</t>
  </si>
  <si>
    <t>-07-01</t>
  </si>
  <si>
    <t>-07-31</t>
  </si>
  <si>
    <t>-08-01</t>
  </si>
  <si>
    <t>-08-31</t>
  </si>
  <si>
    <t>-09-01</t>
  </si>
  <si>
    <t>-09-30</t>
  </si>
  <si>
    <t>-10-01</t>
  </si>
  <si>
    <t>-10-31</t>
  </si>
  <si>
    <t>-11-01</t>
  </si>
  <si>
    <t>-11-30</t>
  </si>
  <si>
    <t>-12-01</t>
  </si>
  <si>
    <t>-12-31</t>
  </si>
  <si>
    <t>Rok</t>
  </si>
  <si>
    <t>Liczba zmian</t>
  </si>
  <si>
    <t>Liczba godzin na zmianę</t>
  </si>
  <si>
    <t>Etykiety wierszy</t>
  </si>
  <si>
    <t>Liczba zleceń</t>
  </si>
  <si>
    <t>Suma z Czas rzeczywisty</t>
  </si>
  <si>
    <t>Suma z Czas zaplanowany</t>
  </si>
  <si>
    <t>Obciążenie</t>
  </si>
  <si>
    <t>Wydajność maszyny</t>
  </si>
  <si>
    <t>Suma końcowa</t>
  </si>
  <si>
    <t>Etykiety kolumn</t>
  </si>
  <si>
    <t>NR KI</t>
  </si>
  <si>
    <t>K3 KARLVILLE</t>
  </si>
  <si>
    <t>C5 ALIED GEAR</t>
  </si>
  <si>
    <t>Miesiąc</t>
  </si>
  <si>
    <t>Suma z Przyspieszenie</t>
  </si>
  <si>
    <t>Suma z Opóźnienie</t>
  </si>
  <si>
    <t>Legrand</t>
  </si>
  <si>
    <t>Armor</t>
  </si>
  <si>
    <t>Whirlpool</t>
  </si>
  <si>
    <t>K7 SKŁADARKA ZIC ZAC</t>
  </si>
  <si>
    <t>K4 GILOTYNA</t>
  </si>
  <si>
    <t>K2 PŁASKA PRZEWIJARKA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</si>
</sst>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5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511703848384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3" tint="0.59996337778862885"/>
      </top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3" fillId="0" borderId="0"/>
    <xf numFmtId="9" fontId="3" fillId="0" borderId="0" applyFon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0" fontId="3" fillId="0" borderId="0" xfId="3"/>
    <xf numFmtId="0" fontId="4" fillId="2" borderId="1" xfId="3" applyFont="1" applyFill="1" applyBorder="1"/>
    <xf numFmtId="49" fontId="3" fillId="0" borderId="0" xfId="3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Protection="1">
      <protection hidden="1"/>
    </xf>
    <xf numFmtId="10" fontId="0" fillId="0" borderId="0" xfId="0" applyNumberFormat="1"/>
    <xf numFmtId="10" fontId="0" fillId="3" borderId="2" xfId="0" applyNumberFormat="1" applyFill="1" applyBorder="1"/>
  </cellXfs>
  <cellStyles count="5">
    <cellStyle name="Normalny" xfId="0" builtinId="0"/>
    <cellStyle name="Normalny 2" xfId="1"/>
    <cellStyle name="Normalny 3" xfId="3"/>
    <cellStyle name="Normalny 4" xfId="2"/>
    <cellStyle name="Procentowy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1</xdr:row>
          <xdr:rowOff>161925</xdr:rowOff>
        </xdr:from>
        <xdr:to>
          <xdr:col>13</xdr:col>
          <xdr:colOff>209550</xdr:colOff>
          <xdr:row>8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</a:rPr>
                <a:t>Scalaj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SZ" refreshedDate="42335.506574305553" missingItemsLimit="0" createdVersion="4" refreshedVersion="4" minRefreshableVersion="3" recordCount="815">
  <cacheSource type="worksheet">
    <worksheetSource name="zakres"/>
  </cacheSource>
  <cacheFields count="35">
    <cacheField name="Nr zlecenia Wroprint" numFmtId="0">
      <sharedItems/>
    </cacheField>
    <cacheField name="Nr KI" numFmtId="0">
      <sharedItems containsMixedTypes="1" containsNumber="1" containsInteger="1" minValue="45" maxValue="13697" count="241">
        <n v="5757"/>
        <n v="11616"/>
        <n v="9542"/>
        <n v="8453"/>
        <n v="13557"/>
        <n v="13344"/>
        <s v="."/>
        <n v="11652"/>
        <n v="7622"/>
        <n v="11712"/>
        <n v="11099"/>
        <n v="11886"/>
        <n v="13568"/>
        <n v="13569"/>
        <n v="12250"/>
        <n v="9692"/>
        <n v="7761"/>
        <n v="12950"/>
        <n v="11134"/>
        <n v="9834"/>
        <n v="13522"/>
        <n v="12117"/>
        <n v="11944"/>
        <n v="13558"/>
        <n v="11084"/>
        <n v="8452"/>
        <n v="11694"/>
        <n v="10038"/>
        <n v="10958"/>
        <n v="12949"/>
        <n v="10586"/>
        <n v="13682"/>
        <n v="12659"/>
        <n v="12677"/>
        <n v="8367"/>
        <n v="11997"/>
        <n v="12776"/>
        <n v="11309"/>
        <n v="13532"/>
        <n v="10040"/>
        <n v="10025"/>
        <n v="9764"/>
        <n v="7677"/>
        <n v="9626"/>
        <s v="190/KC"/>
        <s v="189/KC"/>
        <n v="9900"/>
        <n v="6596"/>
        <n v="12477"/>
        <n v="12406"/>
        <n v="13496"/>
        <n v="10361"/>
        <n v="9001"/>
        <n v="10480"/>
        <n v="11133"/>
        <n v="10828"/>
        <n v="13022"/>
        <n v="10737"/>
        <n v="12911"/>
        <n v="11265"/>
        <n v="12248"/>
        <n v="13536"/>
        <n v="11421"/>
        <n v="11373"/>
        <n v="9918"/>
        <n v="9938"/>
        <n v="11720"/>
        <n v="7973"/>
        <n v="8370"/>
        <n v="4838"/>
        <n v="7704"/>
        <n v="5939"/>
        <n v="8291"/>
        <n v="11082"/>
        <n v="11776"/>
        <n v="7319"/>
        <n v="11584"/>
        <n v="8775"/>
        <n v="11995"/>
        <n v="12389"/>
        <n v="11667"/>
        <n v="527"/>
        <n v="13563"/>
        <n v="13564"/>
        <n v="13562"/>
        <n v="13561"/>
        <n v="10824"/>
        <n v="13560"/>
        <n v="12524"/>
        <n v="13559"/>
        <n v="13556"/>
        <n v="13555"/>
        <s v="191/KC"/>
        <n v="10703"/>
        <n v="13377"/>
        <n v="13413"/>
        <s v="1244/IP"/>
        <n v="12952"/>
        <n v="11600"/>
        <n v="12179"/>
        <n v="8790"/>
        <n v="10871"/>
        <n v="13376"/>
        <s v="1242/IP"/>
        <n v="13335"/>
        <n v="12408"/>
        <n v="13400"/>
        <n v="12855"/>
        <n v="13678"/>
        <n v="11189"/>
        <n v="526"/>
        <n v="11481"/>
        <s v="187/KC"/>
        <s v="1243/IP"/>
        <n v="11945"/>
        <n v="11190"/>
        <n v="13680"/>
        <s v="63/DG"/>
        <s v="170/MŁ"/>
        <n v="45"/>
        <n v="10698"/>
        <n v="12705"/>
        <n v="12751"/>
        <n v="12750"/>
        <s v="192/KC"/>
        <n v="8509"/>
        <n v="9530"/>
        <n v="11140"/>
        <n v="12752"/>
        <n v="8756"/>
        <n v="9106"/>
        <s v="193/KC"/>
        <n v="11730"/>
        <n v="12807"/>
        <n v="12241"/>
        <n v="12240"/>
        <n v="8057"/>
        <n v="10046"/>
        <n v="12747"/>
        <n v="12951"/>
        <n v="10487"/>
        <n v="11700"/>
        <n v="13684"/>
        <n v="10822"/>
        <n v="8801"/>
        <n v="13685"/>
        <n v="13686"/>
        <n v="9188"/>
        <n v="2241"/>
        <n v="8444"/>
        <n v="8526"/>
        <n v="12968"/>
        <n v="12658"/>
        <n v="13683"/>
        <n v="528"/>
        <n v="11121"/>
        <n v="10481"/>
        <n v="11662"/>
        <n v="10004"/>
        <n v="7597"/>
        <n v="12331"/>
        <n v="11692"/>
        <n v="6726"/>
        <n v="9515"/>
        <n v="10467"/>
        <n v="3501"/>
        <n v="13697"/>
        <n v="11721"/>
        <n v="11193"/>
        <n v="13681"/>
        <n v="13412"/>
        <n v="9984"/>
        <n v="13554"/>
        <n v="13553"/>
        <n v="13552"/>
        <n v="13551"/>
        <n v="13550"/>
        <n v="13549"/>
        <n v="13548"/>
        <n v="13547"/>
        <n v="13546"/>
        <n v="13545"/>
        <s v="3/2015"/>
        <n v="7286"/>
        <n v="7009"/>
        <n v="7223"/>
        <n v="6334"/>
        <n v="13690"/>
        <n v="13450"/>
        <n v="12567"/>
        <n v="11830"/>
        <n v="8344"/>
        <n v="9555"/>
        <n v="8166"/>
        <n v="9852"/>
        <n v="12967"/>
        <n v="11058"/>
        <n v="11153"/>
        <n v="13691"/>
        <n v="13696"/>
        <n v="10939"/>
        <n v="13369"/>
        <n v="13692"/>
        <n v="12764"/>
        <n v="6806"/>
        <n v="10516"/>
        <n v="7882"/>
        <n v="4337"/>
        <n v="1266"/>
        <n v="5122"/>
        <n v="12444"/>
        <n v="10372"/>
        <s v="175/MŁ"/>
        <s v="1245/IP"/>
        <s v="179/MŁ"/>
        <s v="mail"/>
        <n v="13689"/>
        <s v="177/MŁ"/>
        <s v="1247/IP"/>
        <n v="11002"/>
        <s v="123/TB"/>
        <n v="13687"/>
        <s v="194/KC"/>
        <s v="181/MŁ"/>
        <s v="122/TB"/>
        <s v="178/MŁ"/>
        <s v="198/KC"/>
        <s v="72/KC"/>
        <s v="197/KC"/>
        <n v="13501"/>
        <n v="10503"/>
        <n v="13688"/>
        <n v="11346"/>
        <n v="8962"/>
        <n v="13417"/>
        <n v="12687"/>
        <n v="8912"/>
        <s v="196/KC"/>
        <n v="10379"/>
        <n v="8626"/>
        <n v="10716"/>
      </sharedItems>
    </cacheField>
    <cacheField name="Maszyna/Proces" numFmtId="0">
      <sharedItems containsBlank="1" count="20">
        <s v="C3 LESKO M1"/>
        <s v="C4 LASER"/>
        <s v="D2 GIDUE QUADRA"/>
        <s v="G5 PAKOWANIE"/>
        <s v="D3 DURST"/>
        <s v="C7 LESKO  D1"/>
        <s v="D1 GIDUE COMBAT"/>
        <s v="G1 KONTROLA DODATKOWA"/>
        <s v="C2 LESKO D2"/>
        <s v="K1 LESKO P"/>
        <s v="K7 SKŁADARKA ZIC ZAC"/>
        <s v="K4 GILOTYNA"/>
        <s v="C1 LESKO D1"/>
        <s v="G2 RÓWNANIE TTR I PAKOWANIE"/>
        <s v="K2 PŁASKA PRZEWIJARKA"/>
        <s v="G3 DRUK TTR"/>
        <s v="C5 ALIED GEAR"/>
        <s v="T1 KONFEKCJA TTR"/>
        <s v="K3 KARLVILLE"/>
        <m/>
      </sharedItems>
    </cacheField>
    <cacheField name="Planowana data produkcji/Termin dostarczenia surowca" numFmtId="164">
      <sharedItems containsNonDate="0" containsDate="1" containsString="0" containsBlank="1" minDate="2015-10-01T00:00:00" maxDate="2015-12-02T00:00:00"/>
    </cacheField>
    <cacheField name="UWAGA Termin " numFmtId="164">
      <sharedItems containsSemiMixedTypes="0" containsDate="1" containsString="0" containsMixedTypes="1" minDate="1899-12-31T00:11:12" maxDate="2016-02-02T00:00:00"/>
    </cacheField>
    <cacheField name="Kolejka" numFmtId="0">
      <sharedItems containsMixedTypes="1" containsNumber="1" containsInteger="1" minValue="1" maxValue="100"/>
    </cacheField>
    <cacheField name="Termin wysyłki" numFmtId="164">
      <sharedItems containsNonDate="0" containsDate="1" containsString="0" containsBlank="1" minDate="2015-11-20T00:00:00" maxDate="2016-02-02T00:00:00"/>
    </cacheField>
    <cacheField name="Klient" numFmtId="0">
      <sharedItems count="82">
        <s v="Gedia"/>
        <s v="Legrand"/>
        <s v="Diehl"/>
        <s v="Mondelez"/>
        <s v="Karolina"/>
        <s v="Slab"/>
        <s v="Serwis miesięczny"/>
        <s v="Krzysztof Kozłowski"/>
        <s v="Armor"/>
        <s v="Dong Yang"/>
        <s v="Whirlpool Napoli"/>
        <s v="DSSE"/>
        <s v="Whirlpool"/>
        <s v="Colian"/>
        <s v="3M"/>
        <s v="Autoliv"/>
        <s v="Exertis"/>
        <s v="Lacroix"/>
        <s v="Custo pol"/>
        <s v="Ferax"/>
        <s v="Wabco"/>
        <s v="Tristone"/>
        <s v="UTC"/>
        <s v="TCL"/>
        <s v="Tikkurila"/>
        <s v="Energyone"/>
        <s v="Rieter"/>
        <s v="Winkelmann"/>
        <s v="Profim"/>
        <s v="Basf"/>
        <s v="Salam"/>
        <s v="Danfoss"/>
        <s v="Silesia"/>
        <s v="Lug Light"/>
        <s v="IS"/>
        <s v="Heesung"/>
        <s v="Lina medical"/>
        <s v="Ordipol"/>
        <s v="Voss"/>
        <s v="LG Innotek"/>
        <s v="Whirlpool Cassinetta"/>
        <s v="Inter PC"/>
        <s v="IS Polska"/>
        <s v="Faurecia"/>
        <s v="Elfa"/>
        <s v="Hutchinson"/>
        <s v="Turek Bongrain"/>
        <s v="Delta"/>
        <s v="Forsee power"/>
        <s v="Mapei"/>
        <s v="Artech"/>
        <s v="Lorenz"/>
        <s v="TNT"/>
        <s v="Finealtech"/>
        <s v="Visscher"/>
        <s v="Jadwiga"/>
        <s v="Parker"/>
        <s v="Volkswagen"/>
        <s v="Whirlpool Siena"/>
        <s v="Toska"/>
        <s v="Optimax"/>
        <s v="Sanden"/>
        <s v="Cenos"/>
        <s v="Mando"/>
        <s v="Elektro plast"/>
        <s v="Delia"/>
        <s v="Bacówka"/>
        <s v="LBS"/>
        <s v="GKN"/>
        <s v="HLT"/>
        <s v="Rimaster"/>
        <s v="Bikkoplast"/>
        <s v="Pittsburgh"/>
        <s v="Mlekpol"/>
        <s v="Polar"/>
        <s v="Biazet"/>
        <s v="Wropak TTR Prokopczuk"/>
        <s v="Amplus"/>
        <s v="VW"/>
        <s v="Tripus"/>
        <s v="TBAI"/>
        <s v="."/>
      </sharedItems>
    </cacheField>
    <cacheField name="Opis technologiczny" numFmtId="0">
      <sharedItems/>
    </cacheField>
    <cacheField name="Nakład [mb]" numFmtId="0">
      <sharedItems containsMixedTypes="1" containsNumber="1" containsInteger="1" minValue="1" maxValue="15240"/>
    </cacheField>
    <cacheField name="Nakład do wydania [mb]" numFmtId="0">
      <sharedItems containsMixedTypes="1" containsNumber="1" containsInteger="1" minValue="50" maxValue="16000"/>
    </cacheField>
    <cacheField name="Ilość zębów" numFmtId="0">
      <sharedItems containsMixedTypes="1" containsNumber="1" containsInteger="1" minValue="60" maxValue="135"/>
    </cacheField>
    <cacheField name="Fotopolimery" numFmtId="0">
      <sharedItems/>
    </cacheField>
    <cacheField name="Wykrojnik" numFmtId="0">
      <sharedItems/>
    </cacheField>
    <cacheField name="Surowiec" numFmtId="0">
      <sharedItems/>
    </cacheField>
    <cacheField name="Rodzaj surowca" numFmtId="0">
      <sharedItems/>
    </cacheField>
    <cacheField name="Uwagi do wywołania" numFmtId="0">
      <sharedItems/>
    </cacheField>
    <cacheField name="Czas zaplanowany" numFmtId="0">
      <sharedItems containsNonDate="0" containsString="0" containsBlank="1"/>
    </cacheField>
    <cacheField name="Handlowiec" numFmtId="0">
      <sharedItems/>
    </cacheField>
    <cacheField name="Czas rzeczywisty" numFmtId="0">
      <sharedItems containsString="0" containsBlank="1" containsNumber="1" minValue="0.08" maxValue="18"/>
    </cacheField>
    <cacheField name="Podpis wykonawcy" numFmtId="0">
      <sharedItems/>
    </cacheField>
    <cacheField name="data faktycznej produkcji" numFmtId="0">
      <sharedItems containsDate="1" containsBlank="1" containsMixedTypes="1" minDate="2015-11-13T00:00:00" maxDate="2015-11-26T00:00:00"/>
    </cacheField>
    <cacheField name="Uwagi" numFmtId="0">
      <sharedItems containsNonDate="0" containsDate="1" containsString="0" containsBlank="1" minDate="2015-11-12T00:00:00" maxDate="2016-01-19T00:00:00"/>
    </cacheField>
    <cacheField name="Zakończone" numFmtId="0">
      <sharedItems count="2">
        <s v="x"/>
        <s v="."/>
      </sharedItems>
    </cacheField>
    <cacheField name="Uwagi dla produkcji" numFmtId="0">
      <sharedItems/>
    </cacheField>
    <cacheField name="Uwagi z produkcji" numFmtId="0">
      <sharedItems/>
    </cacheField>
    <cacheField name="Godz. Rozpoczęcia" numFmtId="0">
      <sharedItems containsMixedTypes="1" containsNumber="1" containsInteger="1" minValue="600" maxValue="1400"/>
    </cacheField>
    <cacheField name="Godz. Zakończenia" numFmtId="0">
      <sharedItems/>
    </cacheField>
    <cacheField name="Wydanie surowca/ ilość" numFmtId="0">
      <sharedItems/>
    </cacheField>
    <cacheField name="Wydanie surowca/podpis" numFmtId="0">
      <sharedItems/>
    </cacheField>
    <cacheField name="Przyjęcie surowca/ podpis" numFmtId="0">
      <sharedItems/>
    </cacheField>
    <cacheField name="Zwrot surowca/ilość" numFmtId="0">
      <sharedItems/>
    </cacheField>
    <cacheField name="Miesiąc" numFmtId="0">
      <sharedItems containsSemiMixedTypes="0" containsString="0" containsNumber="1" containsInteger="1" minValue="1" maxValue="12" count="4">
        <n v="11"/>
        <n v="12"/>
        <n v="1"/>
        <n v="2"/>
      </sharedItems>
    </cacheField>
    <cacheField name="Przyspieszenie" numFmtId="0">
      <sharedItems containsString="0" containsBlank="1" containsNumber="1" containsInteger="1" minValue="1" maxValue="6" count="4">
        <m/>
        <n v="6"/>
        <n v="1"/>
        <n v="3"/>
      </sharedItems>
    </cacheField>
    <cacheField name="Opóźnienie" numFmtId="0">
      <sharedItems containsBlank="1" containsMixedTypes="1" containsNumber="1" containsInteger="1" minValue="3" maxValue="3" count="3">
        <m/>
        <e v="#VALUE!"/>
        <n v="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5">
  <r>
    <s v="5774/2015-1"/>
    <x v="0"/>
    <x v="0"/>
    <d v="2015-11-19T00:00:00"/>
    <d v="1899-12-31T00:00:00"/>
    <n v="1"/>
    <d v="2015-11-20T00:00:00"/>
    <x v="0"/>
    <s v="."/>
    <n v="1587"/>
    <n v="1700"/>
    <n v="60"/>
    <s v="."/>
    <s v="ok"/>
    <s v="ok"/>
    <s v="Avery PP TOP NG WH TS8000DEC 125mm"/>
    <s v="rano potrzebne!"/>
    <m/>
    <s v="MŁ"/>
    <n v="3"/>
    <s v="Kozłowski"/>
    <d v="2015-11-20T00:00:00"/>
    <m/>
    <x v="0"/>
    <s v="."/>
    <s v="."/>
    <s v="."/>
    <s v="."/>
    <s v="."/>
    <s v="."/>
    <s v="."/>
    <s v="."/>
    <x v="0"/>
    <x v="0"/>
    <x v="0"/>
  </r>
  <r>
    <s v="5777/2015-1"/>
    <x v="0"/>
    <x v="0"/>
    <d v="2015-11-19T00:00:00"/>
    <d v="1899-12-31T00:00:00"/>
    <n v="2"/>
    <d v="2015-11-20T00:00:00"/>
    <x v="0"/>
    <s v="."/>
    <n v="317"/>
    <n v="500"/>
    <n v="60"/>
    <s v="."/>
    <s v="ok"/>
    <s v="ok"/>
    <s v="Avery PP TOP NG WH TS8000DEC 125mm"/>
    <s v="rano potrzebne!"/>
    <m/>
    <s v="MŁ"/>
    <n v="0.83"/>
    <s v="Kozłowski"/>
    <d v="2015-11-20T00:00:00"/>
    <m/>
    <x v="0"/>
    <s v="."/>
    <s v="."/>
    <s v="."/>
    <s v="."/>
    <s v="."/>
    <s v="."/>
    <s v="."/>
    <s v="."/>
    <x v="0"/>
    <x v="0"/>
    <x v="0"/>
  </r>
  <r>
    <s v="5776/2015-1"/>
    <x v="0"/>
    <x v="0"/>
    <d v="2015-11-19T00:00:00"/>
    <d v="1899-12-31T00:00:00"/>
    <n v="3"/>
    <d v="2015-11-20T00:00:00"/>
    <x v="0"/>
    <s v="."/>
    <n v="190"/>
    <n v="300"/>
    <n v="60"/>
    <s v="."/>
    <s v="ok"/>
    <s v="ok"/>
    <s v="Avery PP TOP NG WH TS8000DEC 125mm"/>
    <s v="rano potrzebne!"/>
    <m/>
    <s v="MŁ"/>
    <n v="0.5"/>
    <s v="Kozłowski"/>
    <d v="2015-11-20T00:00:00"/>
    <m/>
    <x v="0"/>
    <s v="."/>
    <s v="."/>
    <s v="."/>
    <s v="."/>
    <s v="."/>
    <s v="."/>
    <s v="."/>
    <s v="."/>
    <x v="0"/>
    <x v="0"/>
    <x v="0"/>
  </r>
  <r>
    <s v="5775/2015-1"/>
    <x v="0"/>
    <x v="0"/>
    <d v="2015-11-19T00:00:00"/>
    <d v="1899-12-31T00:00:00"/>
    <n v="4"/>
    <d v="2015-11-20T00:00:00"/>
    <x v="0"/>
    <s v="."/>
    <n v="635"/>
    <n v="800"/>
    <n v="60"/>
    <s v="."/>
    <s v="ok"/>
    <s v="ok"/>
    <s v="Avery PP TOP NG WH TS8000DEC 125mm"/>
    <s v="rano potrzebne!"/>
    <m/>
    <s v="MŁ"/>
    <n v="1.83"/>
    <s v="Kozłowski"/>
    <d v="2015-11-20T00:00:00"/>
    <m/>
    <x v="0"/>
    <s v="."/>
    <s v="."/>
    <s v="."/>
    <s v="."/>
    <s v="."/>
    <s v="."/>
    <s v="."/>
    <s v="."/>
    <x v="0"/>
    <x v="0"/>
    <x v="0"/>
  </r>
  <r>
    <s v="6159/2015-1"/>
    <x v="1"/>
    <x v="1"/>
    <d v="2015-11-17T00:00:00"/>
    <d v="1900-01-05T00:00:00"/>
    <n v="1"/>
    <d v="2015-11-23T00:00:00"/>
    <x v="1"/>
    <s v="."/>
    <n v="37"/>
    <n v="200"/>
    <n v="124"/>
    <s v="."/>
    <s v="ok"/>
    <s v="ok"/>
    <s v="Avery AFJ 042 250mm"/>
    <s v="."/>
    <m/>
    <s v="TB"/>
    <n v="1"/>
    <s v="Smagała"/>
    <d v="2015-11-23T00:00:00"/>
    <d v="2015-11-20T00:00:00"/>
    <x v="0"/>
    <s v="."/>
    <s v="."/>
    <s v="."/>
    <s v="."/>
    <s v="."/>
    <s v="."/>
    <s v="."/>
    <s v="."/>
    <x v="0"/>
    <x v="0"/>
    <x v="0"/>
  </r>
  <r>
    <s v="6181/2015-1"/>
    <x v="2"/>
    <x v="2"/>
    <d v="2015-11-18T00:00:00"/>
    <d v="1900-01-01T00:00:00"/>
    <n v="1"/>
    <d v="2015-11-20T00:00:00"/>
    <x v="2"/>
    <s v="."/>
    <n v="870"/>
    <n v="1200"/>
    <n v="96"/>
    <s v="ok"/>
    <s v="ok"/>
    <s v="ok"/>
    <s v="Ritrama Triplex coated AP904 2X GL60 222mm"/>
    <s v="17.11"/>
    <m/>
    <s v="IP"/>
    <n v="3"/>
    <s v="Olejczuk"/>
    <d v="2015-11-20T00:00:00"/>
    <d v="2015-11-23T00:00:00"/>
    <x v="0"/>
    <s v="."/>
    <s v="."/>
    <s v="."/>
    <s v="."/>
    <s v="."/>
    <s v="."/>
    <s v="."/>
    <s v="."/>
    <x v="0"/>
    <x v="0"/>
    <x v="0"/>
  </r>
  <r>
    <s v="6152/2015-3"/>
    <x v="3"/>
    <x v="3"/>
    <d v="2015-11-19T00:00:00"/>
    <d v="1900-01-03T00:00:00"/>
    <n v="1"/>
    <d v="2015-11-23T00:00:00"/>
    <x v="3"/>
    <s v="."/>
    <n v="928"/>
    <s v="."/>
    <s v="."/>
    <s v="."/>
    <s v="."/>
    <s v="."/>
    <s v="."/>
    <s v="."/>
    <m/>
    <s v="MŁ"/>
    <n v="0.25"/>
    <s v="Maciąg"/>
    <d v="2015-11-19T00:00:00"/>
    <m/>
    <x v="0"/>
    <s v="."/>
    <s v="."/>
    <s v="."/>
    <s v="."/>
    <s v="."/>
    <s v="."/>
    <s v="."/>
    <s v="."/>
    <x v="0"/>
    <x v="0"/>
    <x v="0"/>
  </r>
  <r>
    <s v="6209/2015-2"/>
    <x v="4"/>
    <x v="1"/>
    <d v="2015-11-23T00:00:00"/>
    <d v="1899-12-31T00:00:00"/>
    <n v="1"/>
    <d v="2015-11-24T00:00:00"/>
    <x v="4"/>
    <s v="."/>
    <n v="169"/>
    <s v="."/>
    <s v="."/>
    <s v="."/>
    <s v="."/>
    <s v="."/>
    <s v="."/>
    <s v="."/>
    <m/>
    <s v="IP"/>
    <n v="1.92"/>
    <s v="Pawlik"/>
    <d v="2015-11-23T00:00:00"/>
    <d v="2015-11-26T00:00:00"/>
    <x v="0"/>
    <s v="."/>
    <s v="."/>
    <s v="."/>
    <s v="."/>
    <s v="."/>
    <s v="."/>
    <s v="."/>
    <s v="."/>
    <x v="0"/>
    <x v="0"/>
    <x v="0"/>
  </r>
  <r>
    <s v="6141/2015-2"/>
    <x v="5"/>
    <x v="1"/>
    <d v="2015-11-20T00:00:00"/>
    <d v="1899-12-30T00:00:00"/>
    <n v="1"/>
    <d v="2015-11-20T00:00:00"/>
    <x v="5"/>
    <s v="."/>
    <n v="1100"/>
    <s v="."/>
    <s v="."/>
    <s v="."/>
    <s v="."/>
    <s v="."/>
    <s v="."/>
    <s v="."/>
    <m/>
    <s v="IP"/>
    <n v="3.66"/>
    <s v="Pawlik"/>
    <d v="2015-11-20T00:00:00"/>
    <d v="2015-11-23T00:00:00"/>
    <x v="0"/>
    <s v="."/>
    <s v="."/>
    <s v="."/>
    <s v="."/>
    <s v="."/>
    <s v="."/>
    <s v="."/>
    <s v="."/>
    <x v="0"/>
    <x v="0"/>
    <x v="0"/>
  </r>
  <r>
    <s v="S-D2-11/2015"/>
    <x v="6"/>
    <x v="2"/>
    <m/>
    <d v="2015-11-23T00:00:00"/>
    <n v="1"/>
    <d v="2015-11-23T00:00:00"/>
    <x v="6"/>
    <s v="."/>
    <s v="."/>
    <s v="."/>
    <s v="."/>
    <s v="."/>
    <s v="."/>
    <s v="."/>
    <s v="."/>
    <s v="."/>
    <m/>
    <s v="."/>
    <n v="8"/>
    <s v="Juszczak"/>
    <d v="2015-11-23T00:00:00"/>
    <m/>
    <x v="0"/>
    <s v="."/>
    <s v="."/>
    <n v="600"/>
    <s v="."/>
    <s v="."/>
    <s v="."/>
    <s v="."/>
    <s v="."/>
    <x v="0"/>
    <x v="0"/>
    <x v="0"/>
  </r>
  <r>
    <s v="6233/2015-1"/>
    <x v="7"/>
    <x v="4"/>
    <d v="2015-11-19T00:00:00"/>
    <d v="1900-01-04T00:00:00"/>
    <n v="2"/>
    <d v="2015-11-24T00:00:00"/>
    <x v="0"/>
    <s v="."/>
    <n v="33"/>
    <n v="200"/>
    <n v="85"/>
    <s v="nowy"/>
    <s v="ok"/>
    <s v="ok"/>
    <s v="Avery PP TOP NG WH TS8000DEC 125mm"/>
    <s v="."/>
    <m/>
    <s v="MŁ"/>
    <n v="0.33"/>
    <s v="Mucha Ł."/>
    <d v="2015-11-23T00:00:00"/>
    <d v="2015-11-27T00:00:00"/>
    <x v="0"/>
    <s v="."/>
    <s v="."/>
    <s v="."/>
    <s v="."/>
    <s v="."/>
    <s v="."/>
    <s v="."/>
    <s v="."/>
    <x v="0"/>
    <x v="0"/>
    <x v="0"/>
  </r>
  <r>
    <s v="6193/2015-1"/>
    <x v="8"/>
    <x v="5"/>
    <d v="2015-11-19T00:00:00"/>
    <d v="1900-01-04T00:00:00"/>
    <n v="2"/>
    <d v="2015-11-24T00:00:00"/>
    <x v="7"/>
    <s v="."/>
    <n v="1587"/>
    <n v="1800"/>
    <n v="80"/>
    <s v="."/>
    <s v="ok"/>
    <s v="ok"/>
    <s v="Raflatac Thermal TOP P180 250mm"/>
    <s v="."/>
    <m/>
    <s v="IP"/>
    <n v="4.17"/>
    <s v="Mucha M./Grześkowiak"/>
    <d v="2015-11-20T00:00:00"/>
    <m/>
    <x v="0"/>
    <s v="."/>
    <s v="."/>
    <s v="."/>
    <s v="."/>
    <s v="."/>
    <s v="."/>
    <s v="."/>
    <s v="."/>
    <x v="0"/>
    <x v="0"/>
    <x v="0"/>
  </r>
  <r>
    <s v="6161/2015-1"/>
    <x v="9"/>
    <x v="6"/>
    <d v="2015-11-19T00:00:00"/>
    <d v="1900-01-04T00:00:00"/>
    <n v="3"/>
    <d v="2015-11-24T00:00:00"/>
    <x v="1"/>
    <s v="."/>
    <n v="4889"/>
    <n v="5200"/>
    <n v="77"/>
    <s v="ok"/>
    <s v="ok"/>
    <s v="ok"/>
    <s v="Raflatac Vellum RH09 258mm"/>
    <s v="17.11"/>
    <m/>
    <s v="TB"/>
    <n v="4"/>
    <s v="Górski"/>
    <d v="2015-11-20T00:00:00"/>
    <m/>
    <x v="0"/>
    <s v="z D2"/>
    <s v="."/>
    <s v="."/>
    <s v="."/>
    <s v="."/>
    <s v="."/>
    <s v="."/>
    <s v="."/>
    <x v="0"/>
    <x v="0"/>
    <x v="0"/>
  </r>
  <r>
    <s v="6135/2015-3"/>
    <x v="10"/>
    <x v="7"/>
    <d v="2015-11-20T00:00:00"/>
    <d v="1899-12-30T00:00:00"/>
    <n v="1"/>
    <d v="2015-11-20T00:00:00"/>
    <x v="8"/>
    <s v="."/>
    <n v="152"/>
    <s v="."/>
    <s v="."/>
    <s v="."/>
    <s v="."/>
    <s v="."/>
    <s v="."/>
    <s v="."/>
    <m/>
    <s v="KC"/>
    <n v="0.25"/>
    <s v="Śliwińska O."/>
    <d v="2015-11-20T00:00:00"/>
    <d v="2015-11-19T00:00:00"/>
    <x v="0"/>
    <s v="."/>
    <s v="."/>
    <s v="."/>
    <s v="."/>
    <s v="."/>
    <s v="."/>
    <s v="."/>
    <s v="."/>
    <x v="0"/>
    <x v="0"/>
    <x v="0"/>
  </r>
  <r>
    <s v="6220/2015-1"/>
    <x v="11"/>
    <x v="2"/>
    <d v="2015-11-20T00:00:00"/>
    <d v="1900-01-03T00:00:00"/>
    <n v="4"/>
    <d v="2015-11-24T00:00:00"/>
    <x v="9"/>
    <s v="."/>
    <n v="550"/>
    <n v="850"/>
    <n v="104"/>
    <s v="ok"/>
    <s v="ok"/>
    <s v="ok"/>
    <s v="Raflatac Vellum TTR RH9X 230mm"/>
    <s v="."/>
    <m/>
    <s v="DG"/>
    <n v="1.17"/>
    <s v="Juszczak"/>
    <d v="2015-11-20T00:00:00"/>
    <d v="2015-11-26T00:00:00"/>
    <x v="0"/>
    <s v="."/>
    <s v="."/>
    <s v="."/>
    <s v="."/>
    <s v="."/>
    <s v="."/>
    <s v="."/>
    <s v="."/>
    <x v="0"/>
    <x v="0"/>
    <x v="0"/>
  </r>
  <r>
    <s v="6209/2015-1"/>
    <x v="4"/>
    <x v="4"/>
    <d v="2015-11-18T00:00:00"/>
    <d v="1900-01-05T00:00:00"/>
    <n v="1"/>
    <d v="2015-11-24T00:00:00"/>
    <x v="4"/>
    <s v="."/>
    <n v="169"/>
    <n v="300"/>
    <n v="132"/>
    <s v="nowy"/>
    <s v="ok"/>
    <s v="ok"/>
    <s v="Raflatac Raflacoat RH9X 220mm"/>
    <s v="."/>
    <m/>
    <s v="IP"/>
    <n v="0.4"/>
    <s v="Placek"/>
    <d v="2015-11-23T00:00:00"/>
    <d v="2015-11-26T00:00:00"/>
    <x v="0"/>
    <s v="potrzebne pilnie"/>
    <s v="."/>
    <s v="."/>
    <s v="."/>
    <s v="."/>
    <s v="."/>
    <s v="."/>
    <s v="."/>
    <x v="0"/>
    <x v="0"/>
    <x v="0"/>
  </r>
  <r>
    <s v="6222/2015-1"/>
    <x v="12"/>
    <x v="4"/>
    <d v="2015-11-19T00:00:00"/>
    <d v="1900-01-04T00:00:00"/>
    <n v="1"/>
    <d v="2015-11-24T00:00:00"/>
    <x v="0"/>
    <s v="."/>
    <n v="68"/>
    <n v="300"/>
    <n v="85"/>
    <s v="nowy"/>
    <s v="ok"/>
    <s v="ok"/>
    <s v="Avery PP TOP NG WH TS8000DEC 125mm"/>
    <s v="."/>
    <m/>
    <s v="MŁ"/>
    <n v="0.33"/>
    <s v="Mucha Ł."/>
    <d v="2015-11-23T00:00:00"/>
    <d v="2015-11-26T00:00:00"/>
    <x v="0"/>
    <s v="."/>
    <s v="."/>
    <s v="."/>
    <s v="."/>
    <s v="."/>
    <s v="."/>
    <s v="."/>
    <s v="."/>
    <x v="0"/>
    <x v="0"/>
    <x v="0"/>
  </r>
  <r>
    <s v="6223/2015-1"/>
    <x v="13"/>
    <x v="4"/>
    <d v="2015-11-19T00:00:00"/>
    <d v="1900-01-05T00:00:00"/>
    <n v="3"/>
    <d v="2015-11-25T00:00:00"/>
    <x v="10"/>
    <s v="."/>
    <n v="26"/>
    <n v="300"/>
    <n v="134"/>
    <s v="nowy"/>
    <s v="ok"/>
    <s v="ok"/>
    <s v="Raflatac PP white TC60 RP37 166mm"/>
    <s v="."/>
    <m/>
    <s v="KC"/>
    <n v="0.5"/>
    <s v="Mucha Ł."/>
    <d v="2015-11-23T00:00:00"/>
    <d v="2015-11-26T00:00:00"/>
    <x v="0"/>
    <s v="."/>
    <s v="."/>
    <s v="."/>
    <s v="."/>
    <s v="."/>
    <s v="."/>
    <s v="."/>
    <s v="."/>
    <x v="0"/>
    <x v="0"/>
    <x v="0"/>
  </r>
  <r>
    <s v="6111/2015-2"/>
    <x v="14"/>
    <x v="8"/>
    <d v="2015-11-20T00:00:00"/>
    <d v="1900-01-05T00:00:00"/>
    <n v="1"/>
    <d v="2015-11-26T00:00:00"/>
    <x v="11"/>
    <s v="."/>
    <n v="1270"/>
    <s v="."/>
    <s v="."/>
    <s v="."/>
    <s v="."/>
    <s v="."/>
    <s v="."/>
    <s v="."/>
    <m/>
    <s v="KC"/>
    <n v="3.5"/>
    <s v="Kosma"/>
    <d v="2015-11-20T00:00:00"/>
    <m/>
    <x v="0"/>
    <s v="."/>
    <s v="."/>
    <n v="1030"/>
    <s v="."/>
    <s v="."/>
    <s v="."/>
    <s v="."/>
    <s v="."/>
    <x v="0"/>
    <x v="0"/>
    <x v="0"/>
  </r>
  <r>
    <s v="6104/2015-3"/>
    <x v="15"/>
    <x v="1"/>
    <d v="2015-11-19T00:00:00"/>
    <d v="1900-01-05T00:00:00"/>
    <n v="1"/>
    <d v="2015-11-25T00:00:00"/>
    <x v="12"/>
    <s v="."/>
    <n v="508"/>
    <s v="."/>
    <s v="."/>
    <s v="."/>
    <s v="."/>
    <s v="."/>
    <s v="."/>
    <s v="."/>
    <m/>
    <s v="KC"/>
    <n v="11"/>
    <s v="Smagała/Pawlik"/>
    <s v="2015-11-19.2015-11-24"/>
    <d v="2015-11-26T00:00:00"/>
    <x v="0"/>
    <s v="dokończenie"/>
    <s v="."/>
    <n v="600"/>
    <s v="."/>
    <s v="."/>
    <s v="."/>
    <s v="."/>
    <s v="."/>
    <x v="0"/>
    <x v="0"/>
    <x v="0"/>
  </r>
  <r>
    <s v="6105/2015-2"/>
    <x v="16"/>
    <x v="9"/>
    <d v="2015-11-20T00:00:00"/>
    <d v="1899-12-30T00:00:00"/>
    <n v="1"/>
    <d v="2015-11-20T00:00:00"/>
    <x v="13"/>
    <s v="."/>
    <n v="4643"/>
    <s v="."/>
    <s v="."/>
    <s v="."/>
    <s v="."/>
    <s v="."/>
    <s v="."/>
    <s v="."/>
    <m/>
    <s v="MŁ"/>
    <n v="5"/>
    <s v="Tkacz"/>
    <d v="2015-11-20T00:00:00"/>
    <m/>
    <x v="0"/>
    <s v="."/>
    <s v="."/>
    <s v="."/>
    <s v="."/>
    <s v="."/>
    <s v="."/>
    <s v="."/>
    <s v="."/>
    <x v="0"/>
    <x v="0"/>
    <x v="0"/>
  </r>
  <r>
    <s v="5942/2015-3"/>
    <x v="17"/>
    <x v="1"/>
    <m/>
    <d v="2015-11-20T00:00:00"/>
    <n v="37"/>
    <d v="2015-11-20T00:00:00"/>
    <x v="14"/>
    <s v="."/>
    <n v="609"/>
    <s v="."/>
    <s v="."/>
    <s v="."/>
    <s v="."/>
    <s v="."/>
    <s v="."/>
    <s v="."/>
    <m/>
    <s v="IP"/>
    <n v="7"/>
    <s v="Smagała"/>
    <d v="2015-11-13T00:00:00"/>
    <d v="2015-11-12T00:00:00"/>
    <x v="1"/>
    <s v="do dokończenia"/>
    <s v="."/>
    <s v="."/>
    <s v="."/>
    <s v="."/>
    <s v="."/>
    <s v="."/>
    <s v="."/>
    <x v="0"/>
    <x v="0"/>
    <x v="0"/>
  </r>
  <r>
    <s v="6104/2015-5"/>
    <x v="15"/>
    <x v="3"/>
    <d v="2015-11-19T00:00:00"/>
    <d v="1900-01-05T00:00:00"/>
    <n v="1"/>
    <d v="2015-11-25T00:00:00"/>
    <x v="12"/>
    <s v="."/>
    <n v="508"/>
    <s v="."/>
    <s v="."/>
    <s v="."/>
    <s v="."/>
    <s v="."/>
    <s v="."/>
    <s v="."/>
    <m/>
    <s v="KC"/>
    <n v="0.57999999999999996"/>
    <s v="Śliwińska O."/>
    <d v="2015-11-19T00:00:00"/>
    <d v="2015-11-19T00:00:00"/>
    <x v="0"/>
    <s v="dokończenie"/>
    <s v="."/>
    <s v="."/>
    <s v="."/>
    <s v="."/>
    <s v="."/>
    <s v="."/>
    <s v="."/>
    <x v="0"/>
    <x v="1"/>
    <x v="0"/>
  </r>
  <r>
    <s v="5774/2015-2"/>
    <x v="0"/>
    <x v="3"/>
    <d v="2015-11-20T00:00:00"/>
    <d v="1899-12-30T00:00:00"/>
    <n v="1"/>
    <d v="2015-11-20T00:00:00"/>
    <x v="0"/>
    <s v="."/>
    <n v="1587"/>
    <s v="."/>
    <s v="."/>
    <s v="."/>
    <s v="."/>
    <s v="."/>
    <s v="."/>
    <s v="."/>
    <m/>
    <s v="MŁ"/>
    <n v="0.17"/>
    <s v="Linert"/>
    <d v="2015-11-20T00:00:00"/>
    <m/>
    <x v="0"/>
    <s v="."/>
    <s v="."/>
    <s v="."/>
    <s v="."/>
    <s v="."/>
    <s v="."/>
    <s v="."/>
    <s v="."/>
    <x v="0"/>
    <x v="0"/>
    <x v="0"/>
  </r>
  <r>
    <s v="5775/2015-3"/>
    <x v="0"/>
    <x v="3"/>
    <d v="2015-11-20T00:00:00"/>
    <d v="1899-12-30T00:00:00"/>
    <n v="1"/>
    <d v="2015-11-20T00:00:00"/>
    <x v="0"/>
    <s v="."/>
    <n v="635"/>
    <s v="."/>
    <s v="."/>
    <s v="."/>
    <s v="."/>
    <s v="."/>
    <s v="."/>
    <s v="."/>
    <m/>
    <s v="MŁ"/>
    <n v="0.17"/>
    <s v="Maciąg"/>
    <d v="2015-11-20T00:00:00"/>
    <m/>
    <x v="0"/>
    <s v="."/>
    <s v="."/>
    <s v="."/>
    <s v="."/>
    <s v="."/>
    <s v="."/>
    <s v="."/>
    <s v="."/>
    <x v="0"/>
    <x v="0"/>
    <x v="0"/>
  </r>
  <r>
    <s v="6135/2015-4"/>
    <x v="10"/>
    <x v="3"/>
    <d v="2015-11-20T00:00:00"/>
    <d v="1899-12-30T00:00:00"/>
    <n v="1"/>
    <d v="2015-11-20T00:00:00"/>
    <x v="8"/>
    <s v="."/>
    <n v="152"/>
    <s v="."/>
    <s v="."/>
    <s v="."/>
    <s v="."/>
    <s v="."/>
    <s v="."/>
    <s v="."/>
    <m/>
    <s v="KC"/>
    <n v="0.17"/>
    <s v="Śliwińska O."/>
    <d v="2015-11-20T00:00:00"/>
    <d v="2015-11-19T00:00:00"/>
    <x v="0"/>
    <s v="."/>
    <s v="."/>
    <s v="."/>
    <s v="."/>
    <s v="."/>
    <s v="."/>
    <s v="."/>
    <s v="."/>
    <x v="0"/>
    <x v="2"/>
    <x v="0"/>
  </r>
  <r>
    <s v="5776/2015-2"/>
    <x v="0"/>
    <x v="3"/>
    <d v="2015-11-20T00:00:00"/>
    <d v="1899-12-30T00:00:00"/>
    <n v="1"/>
    <d v="2015-11-20T00:00:00"/>
    <x v="0"/>
    <s v="."/>
    <n v="190"/>
    <s v="."/>
    <s v="."/>
    <s v="."/>
    <s v="."/>
    <s v="."/>
    <s v="."/>
    <s v="."/>
    <m/>
    <s v="MŁ"/>
    <n v="0.17"/>
    <s v="Linert"/>
    <d v="2015-11-20T00:00:00"/>
    <m/>
    <x v="0"/>
    <s v="."/>
    <s v="."/>
    <s v="."/>
    <s v="."/>
    <s v="."/>
    <s v="."/>
    <s v="."/>
    <s v="."/>
    <x v="0"/>
    <x v="0"/>
    <x v="0"/>
  </r>
  <r>
    <s v="5777/2015-2"/>
    <x v="0"/>
    <x v="3"/>
    <d v="2015-11-20T00:00:00"/>
    <d v="1899-12-30T00:00:00"/>
    <n v="1"/>
    <d v="2015-11-20T00:00:00"/>
    <x v="0"/>
    <s v="."/>
    <n v="317"/>
    <s v="."/>
    <s v="."/>
    <s v="."/>
    <s v="."/>
    <s v="."/>
    <s v="."/>
    <s v="."/>
    <m/>
    <s v="MŁ"/>
    <n v="0.17"/>
    <s v="Linert"/>
    <d v="2015-11-20T00:00:00"/>
    <m/>
    <x v="0"/>
    <s v="."/>
    <s v="."/>
    <s v="."/>
    <s v="."/>
    <s v="."/>
    <s v="."/>
    <s v="."/>
    <s v="."/>
    <x v="0"/>
    <x v="0"/>
    <x v="0"/>
  </r>
  <r>
    <s v="6136/2015-2"/>
    <x v="18"/>
    <x v="1"/>
    <d v="2015-11-20T00:00:00"/>
    <d v="1899-12-30T00:00:00"/>
    <n v="2"/>
    <d v="2015-11-20T00:00:00"/>
    <x v="8"/>
    <s v="."/>
    <n v="381"/>
    <s v="."/>
    <s v="."/>
    <s v="."/>
    <s v="."/>
    <s v="."/>
    <s v="."/>
    <s v="."/>
    <m/>
    <s v="KC"/>
    <n v="9"/>
    <s v="Smagała"/>
    <s v="2015-11-20/2015-11-23"/>
    <d v="2015-11-19T00:00:00"/>
    <x v="0"/>
    <s v="."/>
    <s v="."/>
    <s v="."/>
    <s v="."/>
    <s v="."/>
    <s v="."/>
    <s v="."/>
    <s v="."/>
    <x v="0"/>
    <x v="0"/>
    <x v="0"/>
  </r>
  <r>
    <s v="5778/2015-2"/>
    <x v="0"/>
    <x v="3"/>
    <d v="2015-11-20T00:00:00"/>
    <d v="1899-12-30T00:00:00"/>
    <n v="1"/>
    <d v="2015-11-20T00:00:00"/>
    <x v="0"/>
    <s v="."/>
    <n v="127"/>
    <s v="."/>
    <s v="."/>
    <s v="."/>
    <s v="."/>
    <s v="."/>
    <s v="."/>
    <s v="."/>
    <m/>
    <s v="MŁ"/>
    <n v="0.17"/>
    <s v="Linert"/>
    <d v="2015-11-20T00:00:00"/>
    <m/>
    <x v="0"/>
    <s v="."/>
    <s v="."/>
    <s v="."/>
    <s v="."/>
    <s v="."/>
    <s v="."/>
    <s v="."/>
    <s v="."/>
    <x v="0"/>
    <x v="0"/>
    <x v="0"/>
  </r>
  <r>
    <s v="5839/2015-3"/>
    <x v="19"/>
    <x v="10"/>
    <d v="2015-11-20T00:00:00"/>
    <d v="1899-12-30T00:00:00"/>
    <n v="1"/>
    <d v="2015-11-20T00:00:00"/>
    <x v="15"/>
    <s v="."/>
    <n v="15240"/>
    <s v="."/>
    <s v="."/>
    <s v="."/>
    <s v="."/>
    <s v="."/>
    <s v="."/>
    <s v="."/>
    <m/>
    <s v="IP"/>
    <n v="12"/>
    <s v="Krukar/Kosma/Śliwńska O."/>
    <s v="2015-11-13/2015-11-20"/>
    <m/>
    <x v="0"/>
    <s v="."/>
    <s v="."/>
    <s v="."/>
    <s v="."/>
    <s v="."/>
    <s v="."/>
    <s v="."/>
    <s v="."/>
    <x v="0"/>
    <x v="0"/>
    <x v="0"/>
  </r>
  <r>
    <s v="5839/2015-5"/>
    <x v="19"/>
    <x v="3"/>
    <d v="2015-11-20T00:00:00"/>
    <d v="1899-12-30T00:00:00"/>
    <n v="1"/>
    <d v="2015-11-20T00:00:00"/>
    <x v="15"/>
    <s v="."/>
    <n v="15240"/>
    <s v="."/>
    <s v="."/>
    <s v="."/>
    <s v="."/>
    <s v="."/>
    <s v="."/>
    <s v="."/>
    <m/>
    <s v="IP"/>
    <n v="5"/>
    <s v="."/>
    <s v="2015-11-13/2015-11-20"/>
    <m/>
    <x v="0"/>
    <s v="."/>
    <s v="."/>
    <s v="."/>
    <s v="."/>
    <s v="."/>
    <s v="."/>
    <s v="."/>
    <s v="."/>
    <x v="0"/>
    <x v="0"/>
    <x v="1"/>
  </r>
  <r>
    <s v="6105/2015-3"/>
    <x v="16"/>
    <x v="3"/>
    <d v="2015-11-20T00:00:00"/>
    <d v="1899-12-30T00:00:00"/>
    <n v="1"/>
    <d v="2015-11-20T00:00:00"/>
    <x v="13"/>
    <s v="."/>
    <n v="4643"/>
    <s v="."/>
    <s v="."/>
    <s v="."/>
    <s v="."/>
    <s v="."/>
    <s v="."/>
    <s v="."/>
    <m/>
    <s v="MŁ"/>
    <m/>
    <s v="."/>
    <d v="2015-11-20T00:00:00"/>
    <m/>
    <x v="0"/>
    <s v="."/>
    <s v="."/>
    <s v="."/>
    <s v="."/>
    <s v="."/>
    <s v="."/>
    <s v="."/>
    <s v="."/>
    <x v="0"/>
    <x v="0"/>
    <x v="0"/>
  </r>
  <r>
    <s v="6127/2015-4"/>
    <x v="20"/>
    <x v="3"/>
    <d v="2015-11-18T00:00:00"/>
    <d v="1900-01-01T00:00:00"/>
    <n v="1"/>
    <d v="2015-11-20T00:00:00"/>
    <x v="16"/>
    <s v="."/>
    <n v="250"/>
    <s v="."/>
    <s v="."/>
    <s v="."/>
    <s v="."/>
    <s v="."/>
    <s v="."/>
    <s v="."/>
    <m/>
    <s v="KC"/>
    <m/>
    <s v="."/>
    <d v="2015-11-18T00:00:00"/>
    <m/>
    <x v="0"/>
    <s v="."/>
    <s v="."/>
    <s v="."/>
    <s v="."/>
    <s v="."/>
    <s v="."/>
    <s v="."/>
    <s v="."/>
    <x v="0"/>
    <x v="0"/>
    <x v="0"/>
  </r>
  <r>
    <s v="6178/2015-1"/>
    <x v="21"/>
    <x v="1"/>
    <d v="2015-11-20T00:00:00"/>
    <d v="1900-01-02T00:00:00"/>
    <n v="2"/>
    <d v="2015-11-23T00:00:00"/>
    <x v="17"/>
    <s v="."/>
    <n v="247"/>
    <n v="400"/>
    <n v="104"/>
    <s v="."/>
    <s v="ok"/>
    <s v="250mb"/>
    <s v="Avery PET Transfer WH TOP S8001 232mm"/>
    <s v="."/>
    <m/>
    <s v="DG"/>
    <n v="1.5"/>
    <s v="Smagała"/>
    <d v="2015-11-23T00:00:00"/>
    <m/>
    <x v="0"/>
    <s v="."/>
    <s v="."/>
    <s v="."/>
    <s v="."/>
    <s v="."/>
    <s v="."/>
    <s v="."/>
    <s v="."/>
    <x v="0"/>
    <x v="0"/>
    <x v="0"/>
  </r>
  <r>
    <s v="6131/2015-3"/>
    <x v="22"/>
    <x v="3"/>
    <d v="2015-11-20T00:00:00"/>
    <d v="1900-01-02T00:00:00"/>
    <n v="1"/>
    <d v="2015-11-23T00:00:00"/>
    <x v="18"/>
    <s v="."/>
    <n v="30"/>
    <s v="."/>
    <s v="."/>
    <s v="."/>
    <s v="."/>
    <s v="."/>
    <s v="."/>
    <s v="."/>
    <m/>
    <s v="KC"/>
    <m/>
    <s v="."/>
    <d v="2015-11-20T00:00:00"/>
    <m/>
    <x v="0"/>
    <s v="."/>
    <s v="."/>
    <s v="."/>
    <s v="."/>
    <s v="."/>
    <s v="."/>
    <s v="."/>
    <s v="."/>
    <x v="0"/>
    <x v="0"/>
    <x v="0"/>
  </r>
  <r>
    <s v="6136/2015-3"/>
    <x v="18"/>
    <x v="7"/>
    <d v="2015-11-23T00:00:00"/>
    <n v="-3"/>
    <n v="1"/>
    <d v="2015-11-20T00:00:00"/>
    <x v="8"/>
    <s v="."/>
    <n v="381"/>
    <s v="."/>
    <s v="."/>
    <s v="."/>
    <s v="."/>
    <s v="."/>
    <s v="."/>
    <s v="."/>
    <m/>
    <s v="KC"/>
    <n v="0.5"/>
    <s v="Linert"/>
    <d v="2015-11-23T00:00:00"/>
    <d v="2015-11-19T00:00:00"/>
    <x v="0"/>
    <s v="."/>
    <s v="."/>
    <s v="."/>
    <s v="."/>
    <s v="."/>
    <s v="."/>
    <s v="."/>
    <s v="."/>
    <x v="0"/>
    <x v="0"/>
    <x v="0"/>
  </r>
  <r>
    <s v="6136/2015-4"/>
    <x v="18"/>
    <x v="3"/>
    <d v="2015-11-23T00:00:00"/>
    <n v="-3"/>
    <n v="1"/>
    <d v="2015-11-20T00:00:00"/>
    <x v="8"/>
    <s v="."/>
    <n v="381"/>
    <s v="."/>
    <s v="."/>
    <s v="."/>
    <s v="."/>
    <s v="."/>
    <s v="."/>
    <s v="."/>
    <m/>
    <s v="KC"/>
    <n v="0.17"/>
    <s v="Linert"/>
    <d v="2015-11-23T00:00:00"/>
    <d v="2015-11-19T00:00:00"/>
    <x v="0"/>
    <s v="."/>
    <s v="."/>
    <s v="."/>
    <s v="."/>
    <s v="."/>
    <s v="."/>
    <s v="."/>
    <s v="."/>
    <x v="0"/>
    <x v="2"/>
    <x v="2"/>
  </r>
  <r>
    <s v="6210/2015-2"/>
    <x v="23"/>
    <x v="1"/>
    <d v="2015-11-23T00:00:00"/>
    <d v="1900-01-02T00:00:00"/>
    <n v="2"/>
    <d v="2015-11-26T00:00:00"/>
    <x v="4"/>
    <s v="."/>
    <n v="256"/>
    <s v="."/>
    <s v="."/>
    <s v="."/>
    <s v="."/>
    <s v="."/>
    <s v="."/>
    <s v="."/>
    <m/>
    <s v="IP"/>
    <n v="1.92"/>
    <s v="Pawlik"/>
    <d v="2015-11-23T00:00:00"/>
    <m/>
    <x v="0"/>
    <s v="."/>
    <s v="."/>
    <s v="."/>
    <s v="."/>
    <s v="."/>
    <s v="."/>
    <s v="."/>
    <s v="."/>
    <x v="0"/>
    <x v="0"/>
    <x v="0"/>
  </r>
  <r>
    <s v="6137/2105-2"/>
    <x v="24"/>
    <x v="11"/>
    <d v="2015-11-20T00:00:00"/>
    <d v="1899-12-30T00:00:00"/>
    <n v="1"/>
    <d v="2015-11-20T00:00:00"/>
    <x v="8"/>
    <s v="."/>
    <n v="640"/>
    <s v="."/>
    <s v="."/>
    <s v="."/>
    <s v="."/>
    <s v="."/>
    <s v="."/>
    <s v="."/>
    <m/>
    <s v="KC"/>
    <n v="0.5"/>
    <s v="Śliwińska A."/>
    <d v="2015-11-20T00:00:00"/>
    <d v="2015-11-19T00:00:00"/>
    <x v="0"/>
    <s v="."/>
    <s v="."/>
    <s v="."/>
    <s v="."/>
    <s v="."/>
    <s v="."/>
    <s v="."/>
    <s v="."/>
    <x v="0"/>
    <x v="0"/>
    <x v="0"/>
  </r>
  <r>
    <s v="6137/2105-3"/>
    <x v="24"/>
    <x v="7"/>
    <d v="2015-11-20T00:00:00"/>
    <d v="1899-12-30T00:00:00"/>
    <n v="1"/>
    <d v="2015-11-20T00:00:00"/>
    <x v="8"/>
    <s v="."/>
    <n v="640"/>
    <s v="."/>
    <s v="."/>
    <s v="."/>
    <s v="."/>
    <s v="."/>
    <s v="."/>
    <s v="."/>
    <m/>
    <s v="KC"/>
    <n v="0.33"/>
    <s v="Śliwińska O."/>
    <d v="2015-11-20T00:00:00"/>
    <d v="2015-11-19T00:00:00"/>
    <x v="0"/>
    <s v="."/>
    <s v="."/>
    <s v="."/>
    <s v="."/>
    <s v="."/>
    <s v="."/>
    <s v="."/>
    <s v="."/>
    <x v="0"/>
    <x v="0"/>
    <x v="0"/>
  </r>
  <r>
    <s v="6141/2015-4"/>
    <x v="5"/>
    <x v="3"/>
    <d v="2015-11-20T00:00:00"/>
    <d v="1899-12-30T00:00:00"/>
    <n v="1"/>
    <d v="2015-11-20T00:00:00"/>
    <x v="5"/>
    <s v="."/>
    <n v="1100"/>
    <s v="."/>
    <s v="."/>
    <s v="."/>
    <s v="."/>
    <s v="."/>
    <s v="."/>
    <s v="."/>
    <m/>
    <s v="IP"/>
    <n v="0.33"/>
    <s v="Linert"/>
    <d v="2015-11-20T00:00:00"/>
    <d v="2015-11-23T00:00:00"/>
    <x v="0"/>
    <s v="."/>
    <s v="."/>
    <s v="."/>
    <s v="."/>
    <s v="."/>
    <s v="."/>
    <s v="."/>
    <s v="."/>
    <x v="0"/>
    <x v="0"/>
    <x v="0"/>
  </r>
  <r>
    <s v="6155/2015-2"/>
    <x v="25"/>
    <x v="3"/>
    <d v="2015-11-20T00:00:00"/>
    <d v="1900-01-02T00:00:00"/>
    <n v="1"/>
    <d v="2015-11-23T00:00:00"/>
    <x v="3"/>
    <s v="."/>
    <n v="1190"/>
    <s v="."/>
    <s v="."/>
    <s v="."/>
    <s v="."/>
    <s v="."/>
    <s v="."/>
    <s v="."/>
    <m/>
    <s v="MŁ"/>
    <n v="0.33"/>
    <s v="Walaszczyk"/>
    <d v="2015-11-20T00:00:00"/>
    <m/>
    <x v="0"/>
    <s v="."/>
    <s v="."/>
    <s v="."/>
    <s v="."/>
    <s v="."/>
    <s v="."/>
    <s v="."/>
    <s v="."/>
    <x v="0"/>
    <x v="0"/>
    <x v="0"/>
  </r>
  <r>
    <s v="6158/2015-4"/>
    <x v="26"/>
    <x v="11"/>
    <d v="2015-11-20T00:00:00"/>
    <d v="1899-12-30T00:00:00"/>
    <n v="2"/>
    <d v="2015-11-20T00:00:00"/>
    <x v="1"/>
    <s v="."/>
    <n v="550"/>
    <s v="."/>
    <s v="."/>
    <s v="."/>
    <s v="."/>
    <s v="."/>
    <s v="."/>
    <s v="."/>
    <m/>
    <s v="TB"/>
    <n v="2"/>
    <s v="Śliwińska A."/>
    <d v="2015-11-20T00:00:00"/>
    <m/>
    <x v="0"/>
    <s v="."/>
    <s v="."/>
    <s v="."/>
    <s v="."/>
    <s v="."/>
    <s v="."/>
    <s v="."/>
    <s v="."/>
    <x v="0"/>
    <x v="0"/>
    <x v="0"/>
  </r>
  <r>
    <s v="6113/2015-2"/>
    <x v="27"/>
    <x v="9"/>
    <d v="2015-11-23T00:00:00"/>
    <d v="1900-01-02T00:00:00"/>
    <n v="1"/>
    <d v="2015-11-26T00:00:00"/>
    <x v="11"/>
    <s v="."/>
    <n v="2751"/>
    <s v="."/>
    <s v="."/>
    <s v="."/>
    <s v="."/>
    <s v="."/>
    <s v="."/>
    <s v="."/>
    <m/>
    <s v="KC"/>
    <n v="4"/>
    <s v="Jawornicki"/>
    <d v="2015-11-23T00:00:00"/>
    <m/>
    <x v="0"/>
    <s v="."/>
    <s v="."/>
    <n v="630"/>
    <s v="."/>
    <s v="."/>
    <s v="."/>
    <s v="."/>
    <s v="."/>
    <x v="0"/>
    <x v="0"/>
    <x v="0"/>
  </r>
  <r>
    <s v="6159/2015-3"/>
    <x v="1"/>
    <x v="3"/>
    <d v="2015-11-23T00:00:00"/>
    <d v="1899-12-30T00:00:00"/>
    <n v="1"/>
    <d v="2015-11-23T00:00:00"/>
    <x v="1"/>
    <s v="."/>
    <n v="37"/>
    <s v="."/>
    <s v="."/>
    <s v="."/>
    <s v="."/>
    <s v="."/>
    <s v="."/>
    <s v="."/>
    <m/>
    <s v="TB"/>
    <n v="0.17"/>
    <s v="Maciąg"/>
    <d v="2015-11-23T00:00:00"/>
    <d v="2015-11-20T00:00:00"/>
    <x v="0"/>
    <s v="."/>
    <s v="."/>
    <s v="."/>
    <s v="."/>
    <s v="."/>
    <s v="."/>
    <s v="."/>
    <s v="."/>
    <x v="0"/>
    <x v="3"/>
    <x v="0"/>
  </r>
  <r>
    <s v="6137/2105-4"/>
    <x v="24"/>
    <x v="3"/>
    <d v="2015-11-20T00:00:00"/>
    <d v="1899-12-30T00:00:00"/>
    <n v="1"/>
    <d v="2015-11-20T00:00:00"/>
    <x v="8"/>
    <s v="."/>
    <n v="640"/>
    <s v="."/>
    <s v="."/>
    <s v="."/>
    <s v="."/>
    <s v="."/>
    <s v="."/>
    <s v="."/>
    <m/>
    <s v="KC"/>
    <n v="0.17"/>
    <s v="Śliwińska O."/>
    <d v="2015-11-20T00:00:00"/>
    <d v="2015-11-19T00:00:00"/>
    <x v="0"/>
    <s v="."/>
    <s v="."/>
    <s v="."/>
    <s v="."/>
    <s v="."/>
    <s v="."/>
    <s v="."/>
    <s v="."/>
    <x v="0"/>
    <x v="2"/>
    <x v="0"/>
  </r>
  <r>
    <s v="4746/2015-1"/>
    <x v="28"/>
    <x v="6"/>
    <d v="2015-11-23T00:00:00"/>
    <d v="1900-01-06T00:00:00"/>
    <n v="1"/>
    <d v="2015-11-30T00:00:00"/>
    <x v="19"/>
    <s v="."/>
    <n v="13758"/>
    <n v="14500"/>
    <n v="104"/>
    <s v="ok"/>
    <s v="ok"/>
    <s v="ok"/>
    <s v="Ritrama RI 7093/60 PP TR TC AR801 PET 30 MY 345mm"/>
    <s v="."/>
    <m/>
    <s v="MŁ"/>
    <n v="14.5"/>
    <s v="Turka"/>
    <s v="2015-11-23/2015-11-24"/>
    <m/>
    <x v="0"/>
    <s v="."/>
    <s v="."/>
    <s v="."/>
    <s v="."/>
    <s v="."/>
    <s v="."/>
    <s v="."/>
    <s v="."/>
    <x v="0"/>
    <x v="0"/>
    <x v="0"/>
  </r>
  <r>
    <s v="6337/2015-2"/>
    <x v="29"/>
    <x v="6"/>
    <m/>
    <d v="2015-11-27T00:00:00"/>
    <n v="2"/>
    <d v="2015-11-27T00:00:00"/>
    <x v="14"/>
    <s v="."/>
    <n v="304"/>
    <s v="."/>
    <s v="."/>
    <s v="."/>
    <s v="."/>
    <s v="."/>
    <s v="."/>
    <s v="."/>
    <m/>
    <s v="IP"/>
    <n v="0.36"/>
    <s v="Górski"/>
    <d v="2015-11-25T00:00:00"/>
    <d v="2015-12-02T00:00:00"/>
    <x v="0"/>
    <s v="lakierowanie"/>
    <s v="."/>
    <s v="."/>
    <s v="."/>
    <s v="."/>
    <s v="."/>
    <s v="."/>
    <s v="."/>
    <x v="0"/>
    <x v="0"/>
    <x v="0"/>
  </r>
  <r>
    <s v="6167/2015-4"/>
    <x v="30"/>
    <x v="7"/>
    <m/>
    <d v="2015-11-26T00:00:00"/>
    <n v="1"/>
    <d v="2015-11-26T00:00:00"/>
    <x v="8"/>
    <s v="."/>
    <n v="15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161/2015-3"/>
    <x v="9"/>
    <x v="3"/>
    <d v="2015-11-23T00:00:00"/>
    <d v="1899-12-31T00:00:00"/>
    <n v="1"/>
    <d v="2015-11-24T00:00:00"/>
    <x v="1"/>
    <s v="."/>
    <n v="4889"/>
    <s v="."/>
    <s v="."/>
    <s v="."/>
    <s v="."/>
    <s v="."/>
    <s v="."/>
    <s v="."/>
    <m/>
    <s v="TB"/>
    <n v="0.54"/>
    <s v="Walaszczyk"/>
    <d v="2015-11-23T00:00:00"/>
    <m/>
    <x v="0"/>
    <s v="."/>
    <s v="."/>
    <s v="."/>
    <s v="."/>
    <s v="."/>
    <s v="."/>
    <s v="."/>
    <s v="."/>
    <x v="0"/>
    <x v="0"/>
    <x v="0"/>
  </r>
  <r>
    <s v="6220/2015-2"/>
    <x v="11"/>
    <x v="9"/>
    <d v="2015-11-23T00:00:00"/>
    <d v="1899-12-31T00:00:00"/>
    <n v="1"/>
    <d v="2015-11-24T00:00:00"/>
    <x v="9"/>
    <s v="."/>
    <n v="550"/>
    <s v="."/>
    <s v="."/>
    <s v="."/>
    <s v="."/>
    <s v="."/>
    <s v="."/>
    <s v="."/>
    <m/>
    <s v="DG"/>
    <n v="2"/>
    <s v="Tkacz"/>
    <d v="2015-11-23T00:00:00"/>
    <d v="2015-11-26T00:00:00"/>
    <x v="0"/>
    <s v="."/>
    <s v="."/>
    <n v="1330"/>
    <s v="."/>
    <s v="."/>
    <s v="."/>
    <s v="."/>
    <s v="."/>
    <x v="0"/>
    <x v="0"/>
    <x v="0"/>
  </r>
  <r>
    <s v="6141/2015-3"/>
    <x v="5"/>
    <x v="9"/>
    <d v="2015-11-20T00:00:00"/>
    <d v="1899-12-30T00:00:00"/>
    <n v="3"/>
    <d v="2015-11-20T00:00:00"/>
    <x v="5"/>
    <s v="."/>
    <n v="1100"/>
    <s v="."/>
    <s v="."/>
    <s v="."/>
    <s v="."/>
    <s v="."/>
    <s v="."/>
    <s v="."/>
    <m/>
    <s v="IP"/>
    <n v="0.83"/>
    <s v="Jawornicki"/>
    <d v="2015-11-20T00:00:00"/>
    <d v="2015-11-23T00:00:00"/>
    <x v="0"/>
    <s v="."/>
    <s v="."/>
    <s v="."/>
    <s v="."/>
    <s v="."/>
    <s v="."/>
    <s v="."/>
    <s v="."/>
    <x v="0"/>
    <x v="0"/>
    <x v="0"/>
  </r>
  <r>
    <s v="6256/2015-1"/>
    <x v="31"/>
    <x v="1"/>
    <d v="2015-11-20T00:00:00"/>
    <d v="1900-01-03T00:00:00"/>
    <n v="3"/>
    <d v="2015-11-24T00:00:00"/>
    <x v="4"/>
    <s v="."/>
    <n v="254"/>
    <n v="400"/>
    <n v="80"/>
    <s v="."/>
    <s v="ok"/>
    <s v="ok"/>
    <s v="Raflatac Raflacoat RR21 240mm"/>
    <s v="."/>
    <m/>
    <s v="IP"/>
    <n v="1.33"/>
    <s v="Pawlik"/>
    <d v="2015-11-23T00:00:00"/>
    <d v="2015-11-26T00:00:00"/>
    <x v="0"/>
    <s v="."/>
    <s v="."/>
    <s v="."/>
    <s v="."/>
    <s v="."/>
    <s v="."/>
    <s v="."/>
    <s v="."/>
    <x v="0"/>
    <x v="0"/>
    <x v="0"/>
  </r>
  <r>
    <s v="6167/2015-5"/>
    <x v="30"/>
    <x v="3"/>
    <m/>
    <d v="2015-11-26T00:00:00"/>
    <n v="1"/>
    <d v="2015-11-26T00:00:00"/>
    <x v="8"/>
    <s v="."/>
    <n v="15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180/2015-1"/>
    <x v="32"/>
    <x v="0"/>
    <d v="2015-11-20T00:00:00"/>
    <d v="1900-01-02T00:00:00"/>
    <n v="1"/>
    <d v="2015-11-23T00:00:00"/>
    <x v="17"/>
    <s v="."/>
    <n v="45"/>
    <n v="100"/>
    <n v="80"/>
    <s v="."/>
    <s v="ok"/>
    <s v="w piwnicy"/>
    <s v="Polyonic PI SG 50 82 PS 85/84mm"/>
    <s v="w piwnicy"/>
    <m/>
    <s v="DG"/>
    <n v="1"/>
    <s v="Kozłowski"/>
    <d v="2015-11-20T00:00:00"/>
    <m/>
    <x v="0"/>
    <s v="produkcja musi zostać zaakceptowana przez D. Pukara!"/>
    <s v="."/>
    <n v="1250"/>
    <s v="."/>
    <s v="."/>
    <s v="."/>
    <s v="."/>
    <s v="."/>
    <x v="0"/>
    <x v="0"/>
    <x v="0"/>
  </r>
  <r>
    <s v="5942/2015-4"/>
    <x v="17"/>
    <x v="7"/>
    <m/>
    <d v="2015-11-20T00:00:00"/>
    <n v="1"/>
    <d v="2015-11-20T00:00:00"/>
    <x v="14"/>
    <s v="."/>
    <n v="609"/>
    <s v="."/>
    <s v="."/>
    <s v="."/>
    <s v="."/>
    <s v="."/>
    <s v="."/>
    <s v="."/>
    <m/>
    <s v="IP"/>
    <n v="0.33"/>
    <s v="Śliwińska O."/>
    <d v="2015-11-13T00:00:00"/>
    <d v="2015-11-12T00:00:00"/>
    <x v="1"/>
    <s v="do dokończenia"/>
    <s v="."/>
    <s v="."/>
    <s v="."/>
    <s v="."/>
    <s v="."/>
    <s v="."/>
    <s v="."/>
    <x v="0"/>
    <x v="0"/>
    <x v="0"/>
  </r>
  <r>
    <s v="6209/2015-3"/>
    <x v="4"/>
    <x v="9"/>
    <d v="2015-11-23T00:00:00"/>
    <d v="1900-01-02T00:00:00"/>
    <n v="2"/>
    <d v="2015-11-26T00:00:00"/>
    <x v="4"/>
    <s v="."/>
    <n v="169"/>
    <s v="."/>
    <s v="."/>
    <s v="."/>
    <s v="."/>
    <s v="."/>
    <s v="."/>
    <s v="."/>
    <m/>
    <s v="IP"/>
    <n v="0.33"/>
    <s v="Tkacz"/>
    <d v="2015-11-23T00:00:00"/>
    <m/>
    <x v="0"/>
    <s v="."/>
    <s v="."/>
    <s v="."/>
    <s v="."/>
    <s v="."/>
    <s v="."/>
    <s v="."/>
    <s v="."/>
    <x v="0"/>
    <x v="0"/>
    <x v="0"/>
  </r>
  <r>
    <s v="6168/2015-3"/>
    <x v="33"/>
    <x v="12"/>
    <d v="2015-11-20T00:00:00"/>
    <d v="1900-01-05T00:00:00"/>
    <n v="3"/>
    <d v="2015-11-26T00:00:00"/>
    <x v="8"/>
    <s v="."/>
    <n v="35"/>
    <s v="."/>
    <s v="."/>
    <s v="."/>
    <s v="."/>
    <s v="."/>
    <s v="."/>
    <s v="."/>
    <m/>
    <s v="KC"/>
    <n v="0.17"/>
    <s v="Goclon"/>
    <d v="2015-11-20T00:00:00"/>
    <m/>
    <x v="0"/>
    <s v="."/>
    <s v="."/>
    <s v="."/>
    <s v="."/>
    <s v="."/>
    <s v="."/>
    <s v="."/>
    <s v="."/>
    <x v="0"/>
    <x v="0"/>
    <x v="0"/>
  </r>
  <r>
    <s v="6168/2015-4"/>
    <x v="33"/>
    <x v="7"/>
    <d v="2015-11-20T00:00:00"/>
    <d v="1900-01-05T00:00:00"/>
    <n v="1"/>
    <d v="2015-11-26T00:00:00"/>
    <x v="8"/>
    <s v="."/>
    <n v="35"/>
    <s v="."/>
    <s v="."/>
    <s v="."/>
    <s v="."/>
    <s v="."/>
    <s v="."/>
    <s v="."/>
    <m/>
    <s v="KC"/>
    <n v="0.5"/>
    <s v="Linert"/>
    <d v="2015-11-20T00:00:00"/>
    <m/>
    <x v="0"/>
    <s v="."/>
    <s v="."/>
    <s v="."/>
    <s v="."/>
    <s v="."/>
    <s v="."/>
    <s v="."/>
    <s v="."/>
    <x v="0"/>
    <x v="0"/>
    <x v="0"/>
  </r>
  <r>
    <s v="6165/2015-2"/>
    <x v="34"/>
    <x v="1"/>
    <d v="2015-11-23T00:00:00"/>
    <d v="1899-12-31T00:00:00"/>
    <n v="4"/>
    <d v="2015-11-24T00:00:00"/>
    <x v="20"/>
    <s v="."/>
    <n v="53"/>
    <s v="."/>
    <s v="."/>
    <s v="."/>
    <s v="."/>
    <s v="."/>
    <s v="."/>
    <s v="."/>
    <m/>
    <s v="IP"/>
    <n v="1"/>
    <s v="Pawlik"/>
    <d v="2015-11-23T00:00:00"/>
    <m/>
    <x v="0"/>
    <s v="."/>
    <s v="."/>
    <s v="."/>
    <s v="."/>
    <s v="."/>
    <s v="."/>
    <s v="."/>
    <s v="."/>
    <x v="0"/>
    <x v="0"/>
    <x v="0"/>
  </r>
  <r>
    <s v="6168/2015-5"/>
    <x v="33"/>
    <x v="3"/>
    <d v="2015-11-20T00:00:00"/>
    <d v="1900-01-05T00:00:00"/>
    <n v="1"/>
    <d v="2015-11-26T00:00:00"/>
    <x v="8"/>
    <s v="."/>
    <n v="35"/>
    <s v="."/>
    <s v="."/>
    <s v="."/>
    <s v="."/>
    <s v="."/>
    <s v="."/>
    <s v="."/>
    <m/>
    <s v="KC"/>
    <n v="0.17"/>
    <s v="Linert"/>
    <d v="2015-11-20T00:00:00"/>
    <m/>
    <x v="0"/>
    <s v="."/>
    <s v="."/>
    <s v="."/>
    <s v="."/>
    <s v="."/>
    <s v="."/>
    <s v="."/>
    <s v="."/>
    <x v="0"/>
    <x v="0"/>
    <x v="0"/>
  </r>
  <r>
    <s v="6158/2015-5"/>
    <x v="26"/>
    <x v="3"/>
    <d v="2015-11-20T00:00:00"/>
    <d v="1899-12-30T00:00:00"/>
    <n v="1"/>
    <d v="2015-11-20T00:00:00"/>
    <x v="1"/>
    <s v="."/>
    <n v="550"/>
    <s v="."/>
    <s v="."/>
    <s v="."/>
    <s v="."/>
    <s v="."/>
    <s v="."/>
    <s v="."/>
    <m/>
    <s v="TB"/>
    <n v="1"/>
    <s v="Śliwińska A."/>
    <d v="2015-11-20T00:00:00"/>
    <m/>
    <x v="0"/>
    <s v="."/>
    <s v="."/>
    <s v="."/>
    <s v="."/>
    <s v="."/>
    <s v="."/>
    <s v="."/>
    <s v="."/>
    <x v="0"/>
    <x v="0"/>
    <x v="0"/>
  </r>
  <r>
    <s v="6181/2015-2"/>
    <x v="2"/>
    <x v="9"/>
    <d v="2015-11-20T00:00:00"/>
    <d v="1899-12-30T00:00:00"/>
    <n v="2"/>
    <d v="2015-11-20T00:00:00"/>
    <x v="2"/>
    <s v="."/>
    <n v="870"/>
    <s v="."/>
    <s v="."/>
    <s v="."/>
    <s v="."/>
    <s v="."/>
    <s v="."/>
    <s v="."/>
    <m/>
    <s v="IP"/>
    <n v="2.33"/>
    <s v="Tkacz"/>
    <d v="2015-11-20T00:00:00"/>
    <d v="2015-11-23T00:00:00"/>
    <x v="0"/>
    <s v="."/>
    <s v="."/>
    <s v="."/>
    <s v="."/>
    <s v="."/>
    <s v="."/>
    <s v="."/>
    <s v="."/>
    <x v="0"/>
    <x v="0"/>
    <x v="0"/>
  </r>
  <r>
    <s v="6173/2015-2"/>
    <x v="34"/>
    <x v="1"/>
    <d v="2015-11-23T00:00:00"/>
    <d v="1899-12-31T00:00:00"/>
    <n v="5"/>
    <d v="2015-11-24T00:00:00"/>
    <x v="20"/>
    <s v="."/>
    <n v="53"/>
    <s v="."/>
    <s v="."/>
    <s v="."/>
    <s v="."/>
    <s v="."/>
    <s v="."/>
    <s v="."/>
    <m/>
    <s v="IP"/>
    <n v="0.92"/>
    <s v="Pawlik"/>
    <d v="2015-11-23T00:00:00"/>
    <m/>
    <x v="0"/>
    <s v="."/>
    <s v="."/>
    <s v="."/>
    <s v="."/>
    <s v="."/>
    <s v="."/>
    <s v="."/>
    <s v="."/>
    <x v="0"/>
    <x v="0"/>
    <x v="0"/>
  </r>
  <r>
    <s v="6181/2015-3"/>
    <x v="2"/>
    <x v="7"/>
    <d v="2015-11-20T00:00:00"/>
    <d v="1899-12-30T00:00:00"/>
    <n v="1"/>
    <d v="2015-11-20T00:00:00"/>
    <x v="2"/>
    <s v="."/>
    <n v="870"/>
    <s v="."/>
    <s v="."/>
    <s v="."/>
    <s v="."/>
    <s v="."/>
    <s v="."/>
    <s v="."/>
    <m/>
    <s v="IP"/>
    <n v="0.17"/>
    <s v="Linert"/>
    <d v="2015-11-20T00:00:00"/>
    <d v="2015-11-23T00:00:00"/>
    <x v="0"/>
    <s v="."/>
    <s v="."/>
    <s v="."/>
    <s v="."/>
    <s v="."/>
    <s v="."/>
    <s v="."/>
    <s v="."/>
    <x v="0"/>
    <x v="0"/>
    <x v="0"/>
  </r>
  <r>
    <s v="6210/2015-3"/>
    <x v="23"/>
    <x v="9"/>
    <d v="2015-11-23T00:00:00"/>
    <d v="1900-01-02T00:00:00"/>
    <n v="3"/>
    <d v="2015-11-26T00:00:00"/>
    <x v="4"/>
    <s v="."/>
    <n v="256"/>
    <s v="."/>
    <s v="."/>
    <s v="."/>
    <s v="."/>
    <s v="."/>
    <s v="."/>
    <s v="."/>
    <m/>
    <s v="IP"/>
    <n v="1.5"/>
    <s v="Tkacz"/>
    <d v="2015-11-23T00:00:00"/>
    <m/>
    <x v="0"/>
    <s v="."/>
    <s v="."/>
    <s v="."/>
    <s v="."/>
    <s v="."/>
    <s v="."/>
    <s v="."/>
    <s v="."/>
    <x v="0"/>
    <x v="0"/>
    <x v="0"/>
  </r>
  <r>
    <s v="6242/2015-1"/>
    <x v="35"/>
    <x v="2"/>
    <d v="2015-11-23T00:00:00"/>
    <d v="1900-01-06T00:00:00"/>
    <n v="1"/>
    <d v="2015-11-30T00:00:00"/>
    <x v="21"/>
    <s v="."/>
    <n v="112"/>
    <n v="300"/>
    <n v="78"/>
    <s v="ok"/>
    <s v="ok"/>
    <s v="ok"/>
    <s v="Avery PE Data80 MAT WH F1 216mm"/>
    <s v="."/>
    <m/>
    <s v="IP"/>
    <n v="1"/>
    <s v="Olejczuk"/>
    <d v="2015-11-24T00:00:00"/>
    <m/>
    <x v="0"/>
    <s v="."/>
    <s v="."/>
    <s v="."/>
    <s v="."/>
    <s v="."/>
    <s v="."/>
    <s v="."/>
    <s v="."/>
    <x v="0"/>
    <x v="0"/>
    <x v="0"/>
  </r>
  <r>
    <s v="6234/2015-1"/>
    <x v="36"/>
    <x v="1"/>
    <d v="2015-11-23T00:00:00"/>
    <d v="1900-01-01T00:00:00"/>
    <n v="6"/>
    <d v="2015-11-25T00:00:00"/>
    <x v="22"/>
    <s v="."/>
    <n v="50"/>
    <n v="200"/>
    <n v="80"/>
    <s v="."/>
    <s v="ok"/>
    <s v="ok"/>
    <s v="Ritrama RI 757/60 Cavitated TC8 AR801 200mm"/>
    <s v="."/>
    <m/>
    <s v="MŁ"/>
    <n v="0.5"/>
    <s v="Pawlik"/>
    <d v="2015-11-23T00:00:00"/>
    <m/>
    <x v="0"/>
    <s v="."/>
    <s v="."/>
    <s v="."/>
    <s v="."/>
    <s v="."/>
    <s v="."/>
    <s v="."/>
    <s v="."/>
    <x v="0"/>
    <x v="0"/>
    <x v="0"/>
  </r>
  <r>
    <s v="6159/2015-2"/>
    <x v="1"/>
    <x v="9"/>
    <d v="2015-11-23T00:00:00"/>
    <d v="1899-12-30T00:00:00"/>
    <n v="2"/>
    <d v="2015-11-23T00:00:00"/>
    <x v="1"/>
    <s v="."/>
    <n v="37"/>
    <s v="."/>
    <s v="."/>
    <s v="."/>
    <s v="."/>
    <s v="."/>
    <s v="."/>
    <s v="."/>
    <m/>
    <s v="TB"/>
    <n v="1.33"/>
    <s v="Tkacz"/>
    <d v="2015-11-20T00:00:00"/>
    <d v="2015-11-20T00:00:00"/>
    <x v="0"/>
    <s v="."/>
    <s v="."/>
    <s v="."/>
    <s v="."/>
    <s v="."/>
    <s v="."/>
    <s v="."/>
    <s v="."/>
    <x v="0"/>
    <x v="0"/>
    <x v="0"/>
  </r>
  <r>
    <s v="6113/2015-3"/>
    <x v="27"/>
    <x v="7"/>
    <d v="2015-11-23T00:00:00"/>
    <d v="1900-01-02T00:00:00"/>
    <n v="1"/>
    <d v="2015-11-26T00:00:00"/>
    <x v="11"/>
    <s v="."/>
    <n v="2751"/>
    <s v="."/>
    <s v="."/>
    <s v="."/>
    <s v="."/>
    <s v="."/>
    <s v="."/>
    <s v="."/>
    <m/>
    <s v="KC"/>
    <n v="1"/>
    <s v="Linert"/>
    <d v="2015-11-23T00:00:00"/>
    <m/>
    <x v="0"/>
    <s v="."/>
    <s v="."/>
    <s v="."/>
    <s v="."/>
    <s v="."/>
    <s v="."/>
    <s v="."/>
    <s v="."/>
    <x v="0"/>
    <x v="0"/>
    <x v="0"/>
  </r>
  <r>
    <s v="6154/2015-3"/>
    <x v="37"/>
    <x v="3"/>
    <d v="2015-11-20T00:00:00"/>
    <d v="1900-01-02T00:00:00"/>
    <n v="1"/>
    <d v="2015-11-23T00:00:00"/>
    <x v="3"/>
    <s v="."/>
    <n v="239"/>
    <s v="."/>
    <s v="."/>
    <s v="."/>
    <s v="."/>
    <s v="."/>
    <s v="."/>
    <s v="."/>
    <m/>
    <s v="MŁ"/>
    <n v="0.17"/>
    <s v="Śliwińska O."/>
    <d v="2015-11-20T00:00:00"/>
    <m/>
    <x v="0"/>
    <s v="."/>
    <s v="."/>
    <s v="."/>
    <s v="."/>
    <s v="."/>
    <s v="."/>
    <s v="."/>
    <s v="."/>
    <x v="0"/>
    <x v="0"/>
    <x v="0"/>
  </r>
  <r>
    <s v="6111/2015-3"/>
    <x v="14"/>
    <x v="7"/>
    <d v="2015-11-20T00:00:00"/>
    <d v="1900-01-05T00:00:00"/>
    <n v="1"/>
    <d v="2015-11-26T00:00:00"/>
    <x v="11"/>
    <s v="."/>
    <n v="1270"/>
    <s v="."/>
    <s v="."/>
    <s v="."/>
    <s v="."/>
    <s v="."/>
    <s v="."/>
    <s v="."/>
    <m/>
    <s v="KC"/>
    <n v="0.83"/>
    <s v="Linert"/>
    <d v="2015-11-20T00:00:00"/>
    <m/>
    <x v="0"/>
    <s v="."/>
    <s v="."/>
    <s v="."/>
    <s v="."/>
    <s v="."/>
    <s v="."/>
    <s v="."/>
    <s v="."/>
    <x v="0"/>
    <x v="0"/>
    <x v="0"/>
  </r>
  <r>
    <s v="6165/2015-4"/>
    <x v="34"/>
    <x v="3"/>
    <d v="2015-11-24T00:00:00"/>
    <d v="1899-12-30T00:00:00"/>
    <n v="1"/>
    <d v="2015-11-24T00:00:00"/>
    <x v="20"/>
    <s v="."/>
    <n v="53"/>
    <s v="."/>
    <s v="."/>
    <s v="."/>
    <s v="."/>
    <s v="."/>
    <s v="."/>
    <s v="."/>
    <m/>
    <s v="IP"/>
    <n v="0.08"/>
    <s v="Walaszczyk"/>
    <d v="2015-11-24T00:00:00"/>
    <m/>
    <x v="0"/>
    <s v="."/>
    <s v="."/>
    <s v="."/>
    <s v="."/>
    <s v="."/>
    <s v="."/>
    <s v="."/>
    <s v="."/>
    <x v="0"/>
    <x v="0"/>
    <x v="0"/>
  </r>
  <r>
    <s v="6169/2015-3"/>
    <x v="38"/>
    <x v="12"/>
    <d v="2015-11-20T00:00:00"/>
    <d v="1900-01-05T00:00:00"/>
    <n v="2"/>
    <d v="2015-11-26T00:00:00"/>
    <x v="8"/>
    <s v="."/>
    <n v="7"/>
    <s v="."/>
    <s v="."/>
    <s v="."/>
    <s v="."/>
    <s v="."/>
    <s v="."/>
    <s v="."/>
    <m/>
    <s v="KC"/>
    <n v="0.17"/>
    <s v="Goclon"/>
    <d v="2015-11-20T00:00:00"/>
    <m/>
    <x v="0"/>
    <s v="."/>
    <s v="."/>
    <s v="."/>
    <s v="."/>
    <s v="."/>
    <s v="."/>
    <s v="."/>
    <s v="."/>
    <x v="0"/>
    <x v="0"/>
    <x v="0"/>
  </r>
  <r>
    <s v="6112/2015-3"/>
    <x v="39"/>
    <x v="7"/>
    <d v="2015-11-23T00:00:00"/>
    <d v="1900-01-02T00:00:00"/>
    <n v="1"/>
    <d v="2015-11-26T00:00:00"/>
    <x v="11"/>
    <s v="."/>
    <n v="508"/>
    <s v="."/>
    <s v="."/>
    <s v="."/>
    <s v="."/>
    <s v="."/>
    <s v="."/>
    <s v="."/>
    <m/>
    <s v="KC"/>
    <m/>
    <s v="."/>
    <d v="2015-11-23T00:00:00"/>
    <m/>
    <x v="0"/>
    <s v="."/>
    <s v="."/>
    <s v="."/>
    <s v="."/>
    <s v="."/>
    <s v="."/>
    <s v="."/>
    <s v="."/>
    <x v="0"/>
    <x v="0"/>
    <x v="0"/>
  </r>
  <r>
    <s v="6169/2015-4"/>
    <x v="38"/>
    <x v="7"/>
    <d v="2015-11-20T00:00:00"/>
    <d v="1900-01-05T00:00:00"/>
    <n v="1"/>
    <d v="2015-11-26T00:00:00"/>
    <x v="8"/>
    <s v="."/>
    <n v="7"/>
    <s v="."/>
    <s v="."/>
    <s v="."/>
    <s v="."/>
    <s v="."/>
    <s v="."/>
    <s v="."/>
    <m/>
    <s v="KC"/>
    <n v="0.5"/>
    <s v="Linert"/>
    <d v="2015-11-20T00:00:00"/>
    <m/>
    <x v="0"/>
    <s v="."/>
    <s v="."/>
    <s v="."/>
    <s v="."/>
    <s v="."/>
    <s v="."/>
    <s v="."/>
    <s v="."/>
    <x v="0"/>
    <x v="0"/>
    <x v="0"/>
  </r>
  <r>
    <s v="6116/2015-2"/>
    <x v="40"/>
    <x v="7"/>
    <d v="2015-11-23T00:00:00"/>
    <d v="1900-01-02T00:00:00"/>
    <n v="1"/>
    <d v="2015-11-26T00:00:00"/>
    <x v="11"/>
    <s v="."/>
    <n v="382"/>
    <s v="."/>
    <s v="."/>
    <s v="."/>
    <s v="."/>
    <s v="."/>
    <s v="."/>
    <s v="."/>
    <m/>
    <s v="KC"/>
    <n v="0.25"/>
    <s v="Śliwińska O."/>
    <d v="2015-11-23T00:00:00"/>
    <m/>
    <x v="0"/>
    <s v="."/>
    <s v="."/>
    <s v="."/>
    <s v="."/>
    <s v="."/>
    <s v="."/>
    <s v="."/>
    <s v="."/>
    <x v="0"/>
    <x v="0"/>
    <x v="0"/>
  </r>
  <r>
    <s v="6151/2015-3"/>
    <x v="41"/>
    <x v="3"/>
    <d v="2015-11-20T00:00:00"/>
    <d v="1900-01-02T00:00:00"/>
    <n v="1"/>
    <d v="2015-11-23T00:00:00"/>
    <x v="3"/>
    <s v="."/>
    <n v="161"/>
    <s v="."/>
    <s v="."/>
    <s v="."/>
    <s v="."/>
    <s v="."/>
    <s v="."/>
    <s v="."/>
    <m/>
    <s v="MŁ"/>
    <n v="0.17"/>
    <s v="Śliwińska O."/>
    <d v="2015-11-20T00:00:00"/>
    <m/>
    <x v="0"/>
    <s v="."/>
    <s v="."/>
    <s v="."/>
    <s v="."/>
    <s v="."/>
    <s v="."/>
    <s v="."/>
    <s v="."/>
    <x v="0"/>
    <x v="0"/>
    <x v="0"/>
  </r>
  <r>
    <s v="6175/2015-2"/>
    <x v="42"/>
    <x v="3"/>
    <d v="2015-11-20T00:00:00"/>
    <d v="1900-01-02T00:00:00"/>
    <n v="1"/>
    <d v="2015-11-23T00:00:00"/>
    <x v="23"/>
    <s v="."/>
    <n v="928"/>
    <s v="."/>
    <s v="."/>
    <s v="."/>
    <s v="."/>
    <s v="."/>
    <s v="."/>
    <s v="."/>
    <m/>
    <s v="DG"/>
    <n v="0.08"/>
    <s v="Walaszczyk"/>
    <d v="2015-11-20T00:00:00"/>
    <m/>
    <x v="0"/>
    <s v="."/>
    <s v="."/>
    <s v="."/>
    <s v="."/>
    <s v="."/>
    <s v="."/>
    <s v="."/>
    <s v="."/>
    <x v="0"/>
    <x v="0"/>
    <x v="0"/>
  </r>
  <r>
    <s v="6153/2015-2"/>
    <x v="43"/>
    <x v="3"/>
    <d v="2015-11-20T00:00:00"/>
    <d v="1900-01-02T00:00:00"/>
    <n v="1"/>
    <d v="2015-11-23T00:00:00"/>
    <x v="3"/>
    <s v="."/>
    <n v="161"/>
    <s v="."/>
    <s v="."/>
    <s v="."/>
    <s v="."/>
    <s v="."/>
    <s v="."/>
    <s v="."/>
    <m/>
    <s v="MŁ"/>
    <n v="0.08"/>
    <s v="Maciąg"/>
    <d v="2015-11-20T00:00:00"/>
    <m/>
    <x v="0"/>
    <s v="."/>
    <s v="."/>
    <s v="."/>
    <s v="."/>
    <s v="."/>
    <s v="."/>
    <s v="."/>
    <s v="."/>
    <x v="0"/>
    <x v="0"/>
    <x v="0"/>
  </r>
  <r>
    <s v="6173/2015-4"/>
    <x v="34"/>
    <x v="3"/>
    <d v="2015-11-24T00:00:00"/>
    <d v="1899-12-30T00:00:00"/>
    <n v="1"/>
    <d v="2015-11-24T00:00:00"/>
    <x v="20"/>
    <s v="."/>
    <n v="53"/>
    <s v="."/>
    <s v="."/>
    <s v="."/>
    <s v="."/>
    <s v="."/>
    <s v="."/>
    <s v="."/>
    <m/>
    <s v="IP"/>
    <n v="0.08"/>
    <s v="Walaszczyk"/>
    <d v="2015-11-24T00:00:00"/>
    <m/>
    <x v="0"/>
    <s v="."/>
    <s v="."/>
    <s v="."/>
    <s v="."/>
    <s v="."/>
    <s v="."/>
    <s v="."/>
    <s v="."/>
    <x v="0"/>
    <x v="0"/>
    <x v="0"/>
  </r>
  <r>
    <s v="6178/2015-3"/>
    <x v="21"/>
    <x v="7"/>
    <d v="2015-11-23T00:00:00"/>
    <d v="1899-12-30T00:00:00"/>
    <n v="1"/>
    <d v="2015-11-23T00:00:00"/>
    <x v="17"/>
    <s v="."/>
    <n v="247"/>
    <s v="."/>
    <s v="."/>
    <s v="."/>
    <s v="."/>
    <s v="."/>
    <s v="."/>
    <s v="."/>
    <m/>
    <s v="DG"/>
    <m/>
    <s v="."/>
    <d v="2015-11-23T00:00:00"/>
    <m/>
    <x v="0"/>
    <s v="."/>
    <s v="."/>
    <s v="."/>
    <s v="."/>
    <s v="."/>
    <s v="."/>
    <s v="."/>
    <s v="."/>
    <x v="0"/>
    <x v="0"/>
    <x v="0"/>
  </r>
  <r>
    <s v="A717/2015-2"/>
    <x v="44"/>
    <x v="13"/>
    <m/>
    <d v="2015-11-23T00:00:00"/>
    <n v="2"/>
    <d v="2015-11-23T00:00:00"/>
    <x v="24"/>
    <s v="8x75 7 kursów"/>
    <n v="2100"/>
    <s v="."/>
    <s v="."/>
    <s v="."/>
    <s v="."/>
    <s v="TTR201"/>
    <s v="."/>
    <s v="."/>
    <m/>
    <s v="KC"/>
    <n v="3"/>
    <s v="Kułak"/>
    <d v="2015-11-20T00:00:00"/>
    <m/>
    <x v="0"/>
    <s v="."/>
    <s v="."/>
    <s v="."/>
    <s v="."/>
    <s v="."/>
    <s v="."/>
    <s v="."/>
    <s v="."/>
    <x v="0"/>
    <x v="0"/>
    <x v="0"/>
  </r>
  <r>
    <s v="A716/2015-2"/>
    <x v="45"/>
    <x v="13"/>
    <m/>
    <d v="2015-11-23T00:00:00"/>
    <n v="3"/>
    <d v="2015-11-23T00:00:00"/>
    <x v="24"/>
    <s v="12x55 5 kursów"/>
    <n v="1500"/>
    <s v="."/>
    <s v="."/>
    <s v="."/>
    <s v="."/>
    <s v="TTR201"/>
    <s v="."/>
    <s v="."/>
    <m/>
    <s v="KC"/>
    <n v="2"/>
    <s v="Kułak"/>
    <d v="2015-11-20T00:00:00"/>
    <m/>
    <x v="0"/>
    <s v="."/>
    <s v="."/>
    <s v="."/>
    <s v="."/>
    <s v="."/>
    <s v="."/>
    <s v="."/>
    <s v="."/>
    <x v="0"/>
    <x v="0"/>
    <x v="0"/>
  </r>
  <r>
    <s v="6180/2015-2"/>
    <x v="32"/>
    <x v="14"/>
    <d v="2015-11-23T00:00:00"/>
    <d v="1899-12-30T00:00:00"/>
    <n v="1"/>
    <d v="2015-11-23T00:00:00"/>
    <x v="17"/>
    <s v="."/>
    <n v="45"/>
    <s v="."/>
    <s v="."/>
    <s v="."/>
    <s v="."/>
    <s v="."/>
    <s v="."/>
    <s v="."/>
    <m/>
    <s v="DG"/>
    <m/>
    <s v="."/>
    <d v="2015-11-23T00:00:00"/>
    <m/>
    <x v="0"/>
    <s v="."/>
    <s v="."/>
    <s v="."/>
    <s v="."/>
    <s v="."/>
    <s v="."/>
    <s v="."/>
    <s v="."/>
    <x v="0"/>
    <x v="0"/>
    <x v="0"/>
  </r>
  <r>
    <s v="6180/2015-3"/>
    <x v="32"/>
    <x v="7"/>
    <d v="2015-11-23T00:00:00"/>
    <d v="1899-12-30T00:00:00"/>
    <n v="1"/>
    <d v="2015-11-23T00:00:00"/>
    <x v="17"/>
    <s v="."/>
    <n v="45"/>
    <s v="."/>
    <s v="."/>
    <s v="."/>
    <s v="."/>
    <s v="."/>
    <s v="."/>
    <s v="."/>
    <m/>
    <s v="DG"/>
    <m/>
    <s v="."/>
    <d v="2015-11-23T00:00:00"/>
    <m/>
    <x v="0"/>
    <s v="."/>
    <s v="."/>
    <s v="."/>
    <s v="."/>
    <s v="."/>
    <s v="."/>
    <s v="."/>
    <s v="."/>
    <x v="0"/>
    <x v="0"/>
    <x v="0"/>
  </r>
  <r>
    <s v="6204/2015-1"/>
    <x v="46"/>
    <x v="2"/>
    <d v="2015-11-19T00:00:00"/>
    <d v="1900-01-06T00:00:00"/>
    <n v="2"/>
    <d v="2015-11-26T00:00:00"/>
    <x v="25"/>
    <s v="."/>
    <n v="1488"/>
    <n v="1800"/>
    <n v="75"/>
    <s v="ok"/>
    <s v="ok"/>
    <s v="ok"/>
    <s v="Ritrama Coated RP1001 155mm"/>
    <s v="."/>
    <m/>
    <s v="DG"/>
    <n v="4"/>
    <s v="Olejczuk/Juszczak"/>
    <d v="2015-11-20T00:00:00"/>
    <m/>
    <x v="0"/>
    <s v="."/>
    <s v="."/>
    <n v="1230"/>
    <s v="."/>
    <s v="."/>
    <s v="."/>
    <s v="."/>
    <s v="."/>
    <x v="0"/>
    <x v="0"/>
    <x v="0"/>
  </r>
  <r>
    <s v="S-C1-11/2015"/>
    <x v="6"/>
    <x v="12"/>
    <d v="2015-11-24T00:00:00"/>
    <d v="1899-12-30T00:00:00"/>
    <n v="2"/>
    <d v="2015-11-24T00:00:00"/>
    <x v="6"/>
    <s v="."/>
    <s v="."/>
    <s v="."/>
    <s v="."/>
    <s v="."/>
    <s v="."/>
    <s v="."/>
    <s v="."/>
    <s v="."/>
    <m/>
    <s v="."/>
    <n v="1"/>
    <s v="Grześkowiak"/>
    <d v="2015-11-23T00:00:00"/>
    <m/>
    <x v="0"/>
    <s v="."/>
    <s v="."/>
    <s v="."/>
    <s v="."/>
    <s v="."/>
    <s v="."/>
    <s v="."/>
    <s v="."/>
    <x v="0"/>
    <x v="0"/>
    <x v="0"/>
  </r>
  <r>
    <s v="4746/2015-3"/>
    <x v="28"/>
    <x v="7"/>
    <m/>
    <d v="2015-11-30T00:00:00"/>
    <n v="1"/>
    <d v="2015-11-30T00:00:00"/>
    <x v="19"/>
    <s v="."/>
    <n v="13758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0"/>
    <x v="0"/>
    <x v="0"/>
  </r>
  <r>
    <s v="6138/2015-3"/>
    <x v="47"/>
    <x v="3"/>
    <d v="2015-11-19T00:00:00"/>
    <d v="1900-01-03T00:00:00"/>
    <n v="1"/>
    <d v="2015-11-23T00:00:00"/>
    <x v="14"/>
    <s v="."/>
    <n v="1714"/>
    <s v="."/>
    <s v="."/>
    <s v="."/>
    <s v="."/>
    <s v="."/>
    <s v="."/>
    <s v="."/>
    <m/>
    <s v="IP"/>
    <n v="0.33"/>
    <s v="Maciąg"/>
    <d v="2015-11-19T00:00:00"/>
    <m/>
    <x v="0"/>
    <s v="."/>
    <s v="."/>
    <s v="."/>
    <s v="."/>
    <s v="."/>
    <s v="."/>
    <s v="."/>
    <s v="."/>
    <x v="0"/>
    <x v="0"/>
    <x v="0"/>
  </r>
  <r>
    <s v="6179/2015-2"/>
    <x v="48"/>
    <x v="3"/>
    <d v="2015-11-20T00:00:00"/>
    <d v="1900-01-02T00:00:00"/>
    <n v="1"/>
    <d v="2015-11-23T00:00:00"/>
    <x v="17"/>
    <s v="."/>
    <n v="326"/>
    <s v="."/>
    <s v="."/>
    <s v="."/>
    <s v="."/>
    <s v="."/>
    <s v="."/>
    <s v="."/>
    <m/>
    <s v="DG"/>
    <n v="0.17"/>
    <s v="Linert"/>
    <d v="2015-11-20T00:00:00"/>
    <m/>
    <x v="0"/>
    <s v="."/>
    <s v="."/>
    <s v="."/>
    <s v="."/>
    <s v="."/>
    <s v="."/>
    <s v="."/>
    <s v="."/>
    <x v="0"/>
    <x v="0"/>
    <x v="0"/>
  </r>
  <r>
    <s v="6169/2015-5"/>
    <x v="38"/>
    <x v="3"/>
    <d v="2015-11-20T00:00:00"/>
    <d v="1900-01-05T00:00:00"/>
    <n v="1"/>
    <d v="2015-11-26T00:00:00"/>
    <x v="8"/>
    <s v="."/>
    <n v="7"/>
    <s v="."/>
    <s v="."/>
    <s v="."/>
    <s v="."/>
    <s v="."/>
    <s v="."/>
    <s v="."/>
    <m/>
    <s v="KC"/>
    <n v="0.5"/>
    <s v="Linert"/>
    <d v="2015-11-20T00:00:00"/>
    <m/>
    <x v="0"/>
    <s v="."/>
    <s v="."/>
    <s v="."/>
    <s v="."/>
    <s v="."/>
    <s v="."/>
    <s v="."/>
    <s v="."/>
    <x v="0"/>
    <x v="0"/>
    <x v="0"/>
  </r>
  <r>
    <s v="6161/2015-2"/>
    <x v="9"/>
    <x v="9"/>
    <d v="2015-11-20T00:00:00"/>
    <d v="1900-01-03T00:00:00"/>
    <n v="8"/>
    <d v="2015-11-24T00:00:00"/>
    <x v="1"/>
    <s v="."/>
    <n v="4889"/>
    <s v="."/>
    <s v="."/>
    <s v="."/>
    <s v="."/>
    <s v="."/>
    <s v="."/>
    <s v="."/>
    <m/>
    <s v="TB"/>
    <n v="6.33"/>
    <s v="Jawornicki"/>
    <d v="2015-11-20T00:00:00"/>
    <m/>
    <x v="0"/>
    <s v="."/>
    <s v="."/>
    <s v="."/>
    <s v="."/>
    <s v="."/>
    <s v="."/>
    <s v="."/>
    <s v="."/>
    <x v="0"/>
    <x v="0"/>
    <x v="0"/>
  </r>
  <r>
    <s v="6177/2015-2"/>
    <x v="49"/>
    <x v="3"/>
    <d v="2015-11-20T00:00:00"/>
    <d v="1900-01-02T00:00:00"/>
    <n v="1"/>
    <d v="2015-11-23T00:00:00"/>
    <x v="17"/>
    <s v="."/>
    <n v="38"/>
    <s v="."/>
    <s v="."/>
    <s v="."/>
    <s v="."/>
    <s v="."/>
    <s v="."/>
    <s v="."/>
    <m/>
    <s v="DG"/>
    <n v="0.17"/>
    <s v="Śliwińska O."/>
    <d v="2015-11-20T00:00:00"/>
    <m/>
    <x v="0"/>
    <s v="."/>
    <s v="."/>
    <s v="."/>
    <s v="."/>
    <s v="."/>
    <s v="."/>
    <s v="."/>
    <s v="."/>
    <x v="0"/>
    <x v="0"/>
    <x v="0"/>
  </r>
  <r>
    <s v="6185/2015-1"/>
    <x v="50"/>
    <x v="0"/>
    <d v="2015-11-20T00:00:00"/>
    <d v="1900-01-02T00:00:00"/>
    <n v="2"/>
    <d v="2015-11-23T00:00:00"/>
    <x v="26"/>
    <s v="."/>
    <n v="340"/>
    <n v="500"/>
    <n v="67"/>
    <s v="."/>
    <s v="ok"/>
    <s v="ok"/>
    <s v="Avery PP TOP NG WH TS8000DEC 125mm"/>
    <s v="."/>
    <m/>
    <s v="DG"/>
    <n v="1.33"/>
    <s v="Józefczyk"/>
    <d v="2015-11-23T00:00:00"/>
    <m/>
    <x v="0"/>
    <s v="."/>
    <s v="."/>
    <s v="."/>
    <s v="."/>
    <s v="."/>
    <s v="."/>
    <s v="."/>
    <s v="."/>
    <x v="0"/>
    <x v="0"/>
    <x v="0"/>
  </r>
  <r>
    <s v="6178/2015-2"/>
    <x v="21"/>
    <x v="9"/>
    <m/>
    <d v="2015-11-23T00:00:00"/>
    <n v="3"/>
    <d v="2015-11-23T00:00:00"/>
    <x v="17"/>
    <s v="."/>
    <n v="247"/>
    <s v="."/>
    <s v="."/>
    <s v="."/>
    <s v="."/>
    <s v="."/>
    <s v="."/>
    <s v="."/>
    <m/>
    <s v="DG"/>
    <n v="0.5"/>
    <s v="Jawornicki"/>
    <d v="2015-11-23T00:00:00"/>
    <m/>
    <x v="0"/>
    <s v="."/>
    <s v="."/>
    <s v="."/>
    <s v="."/>
    <s v="."/>
    <s v="."/>
    <s v="."/>
    <s v="."/>
    <x v="0"/>
    <x v="0"/>
    <x v="0"/>
  </r>
  <r>
    <s v="5917/2015-4"/>
    <x v="51"/>
    <x v="7"/>
    <m/>
    <d v="2015-12-01T00:00:00"/>
    <n v="1"/>
    <d v="2015-12-01T00:00:00"/>
    <x v="27"/>
    <s v="."/>
    <n v="63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112/2015-1"/>
    <x v="39"/>
    <x v="6"/>
    <d v="2015-11-19T00:00:00"/>
    <d v="1900-01-06T00:00:00"/>
    <n v="1"/>
    <d v="2015-11-26T00:00:00"/>
    <x v="11"/>
    <s v="."/>
    <n v="508"/>
    <n v="1000"/>
    <n v="96"/>
    <s v="ok"/>
    <s v="ok"/>
    <s v="ok"/>
    <s v="Avery PET transfer White PT S 8020 250mm"/>
    <s v="17.11"/>
    <m/>
    <s v="KC"/>
    <n v="2"/>
    <s v="Turka"/>
    <d v="2015-11-20T00:00:00"/>
    <m/>
    <x v="0"/>
    <s v="."/>
    <s v="."/>
    <s v="."/>
    <s v="."/>
    <s v="."/>
    <s v="."/>
    <s v="."/>
    <s v="."/>
    <x v="0"/>
    <x v="0"/>
    <x v="0"/>
  </r>
  <r>
    <s v="6180/2015-4"/>
    <x v="32"/>
    <x v="3"/>
    <d v="2015-11-23T00:00:00"/>
    <d v="1899-12-30T00:00:00"/>
    <n v="1"/>
    <d v="2015-11-23T00:00:00"/>
    <x v="17"/>
    <s v="."/>
    <n v="45"/>
    <s v="."/>
    <s v="."/>
    <s v="."/>
    <s v="."/>
    <s v="."/>
    <s v="."/>
    <s v="."/>
    <m/>
    <s v="DG"/>
    <m/>
    <s v="."/>
    <d v="2015-11-23T00:00:00"/>
    <m/>
    <x v="0"/>
    <s v="."/>
    <s v="."/>
    <s v="."/>
    <s v="."/>
    <s v="."/>
    <s v="."/>
    <s v="."/>
    <s v="."/>
    <x v="0"/>
    <x v="0"/>
    <x v="0"/>
  </r>
  <r>
    <s v="6162/2015-3"/>
    <x v="52"/>
    <x v="3"/>
    <m/>
    <d v="2015-11-26T00:00:00"/>
    <n v="1"/>
    <d v="2015-11-26T00:00:00"/>
    <x v="1"/>
    <s v="."/>
    <n v="2641"/>
    <s v="."/>
    <s v="."/>
    <s v="."/>
    <s v="."/>
    <s v="."/>
    <s v="."/>
    <s v="."/>
    <m/>
    <s v="TB"/>
    <m/>
    <s v="."/>
    <m/>
    <d v="2015-11-24T00:00:00"/>
    <x v="1"/>
    <s v="."/>
    <s v="."/>
    <s v="."/>
    <s v="."/>
    <s v="."/>
    <s v="."/>
    <s v="."/>
    <s v="."/>
    <x v="0"/>
    <x v="0"/>
    <x v="0"/>
  </r>
  <r>
    <s v="6256/2015-2"/>
    <x v="31"/>
    <x v="9"/>
    <d v="2015-11-23T00:00:00"/>
    <d v="1900-01-02T00:00:00"/>
    <n v="4"/>
    <d v="2015-11-26T00:00:00"/>
    <x v="4"/>
    <s v="."/>
    <n v="254"/>
    <s v="."/>
    <s v="."/>
    <s v="."/>
    <s v="."/>
    <s v="."/>
    <s v="."/>
    <s v="."/>
    <m/>
    <s v="IP"/>
    <n v="0.5"/>
    <s v="Tkacz"/>
    <d v="2015-11-23T00:00:00"/>
    <m/>
    <x v="0"/>
    <s v="."/>
    <s v="."/>
    <s v="."/>
    <s v="."/>
    <s v="."/>
    <s v="."/>
    <s v="."/>
    <s v="."/>
    <x v="0"/>
    <x v="0"/>
    <x v="0"/>
  </r>
  <r>
    <s v="6165/2015-3"/>
    <x v="34"/>
    <x v="9"/>
    <d v="2015-11-24T00:00:00"/>
    <d v="1899-12-30T00:00:00"/>
    <n v="5"/>
    <d v="2015-11-24T00:00:00"/>
    <x v="20"/>
    <s v="."/>
    <n v="53"/>
    <s v="."/>
    <s v="."/>
    <s v="."/>
    <s v="."/>
    <s v="."/>
    <s v="."/>
    <s v="."/>
    <m/>
    <s v="IP"/>
    <n v="0.38"/>
    <s v="Jawornicki"/>
    <d v="2015-11-24T00:00:00"/>
    <m/>
    <x v="0"/>
    <s v="."/>
    <s v="."/>
    <s v="."/>
    <s v="."/>
    <s v="."/>
    <s v="."/>
    <s v="."/>
    <s v="."/>
    <x v="0"/>
    <x v="0"/>
    <x v="0"/>
  </r>
  <r>
    <s v="6167/2015-1"/>
    <x v="30"/>
    <x v="4"/>
    <d v="2015-11-18T00:00:00"/>
    <d v="1900-01-07T00:00:00"/>
    <n v="1"/>
    <d v="2015-11-26T00:00:00"/>
    <x v="8"/>
    <s v="."/>
    <n v="15"/>
    <n v="300"/>
    <n v="132"/>
    <s v="ok"/>
    <s v="ok"/>
    <s v="ok"/>
    <s v="Raflatac optimum extra RP51 200mm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185/2015-2"/>
    <x v="50"/>
    <x v="3"/>
    <d v="2015-11-23T00:00:00"/>
    <d v="1899-12-30T00:00:00"/>
    <n v="1"/>
    <d v="2015-11-23T00:00:00"/>
    <x v="26"/>
    <s v="."/>
    <n v="340"/>
    <s v="."/>
    <s v="."/>
    <s v="."/>
    <s v="."/>
    <s v="."/>
    <s v="."/>
    <s v="."/>
    <m/>
    <s v="DG"/>
    <n v="0.08"/>
    <s v="Walaszczyk"/>
    <d v="2015-11-23T00:00:00"/>
    <m/>
    <x v="0"/>
    <s v="."/>
    <s v="."/>
    <s v="."/>
    <s v="."/>
    <s v="."/>
    <s v="."/>
    <s v="."/>
    <s v="."/>
    <x v="0"/>
    <x v="0"/>
    <x v="0"/>
  </r>
  <r>
    <s v="5942/2015-5"/>
    <x v="17"/>
    <x v="3"/>
    <m/>
    <d v="2015-11-20T00:00:00"/>
    <n v="1"/>
    <d v="2015-11-20T00:00:00"/>
    <x v="14"/>
    <s v="."/>
    <n v="609"/>
    <s v="."/>
    <s v="."/>
    <s v="."/>
    <s v="."/>
    <s v="."/>
    <s v="."/>
    <s v="."/>
    <m/>
    <s v="IP"/>
    <m/>
    <s v="."/>
    <m/>
    <d v="2015-11-12T00:00:00"/>
    <x v="1"/>
    <s v="do dokończenia"/>
    <s v="."/>
    <s v="."/>
    <s v="."/>
    <s v="."/>
    <s v="."/>
    <s v="."/>
    <s v="."/>
    <x v="0"/>
    <x v="0"/>
    <x v="0"/>
  </r>
  <r>
    <s v="6190/2015-1"/>
    <x v="53"/>
    <x v="12"/>
    <d v="2015-11-20T00:00:00"/>
    <d v="1900-01-03T00:00:00"/>
    <n v="1"/>
    <d v="2015-11-24T00:00:00"/>
    <x v="28"/>
    <s v="."/>
    <n v="3810"/>
    <n v="4150"/>
    <n v="80"/>
    <s v="."/>
    <s v="ok"/>
    <s v="ok"/>
    <s v="Avery Fasson Tyre TS79 250mm"/>
    <s v="2450mb jest, 1700mb 20.11"/>
    <m/>
    <s v="TB"/>
    <n v="6"/>
    <s v="Grześkowiak"/>
    <d v="2015-11-23T00:00:00"/>
    <m/>
    <x v="0"/>
    <s v="."/>
    <s v="."/>
    <n v="1400"/>
    <s v="."/>
    <s v="."/>
    <s v="."/>
    <s v="."/>
    <s v="."/>
    <x v="0"/>
    <x v="0"/>
    <x v="0"/>
  </r>
  <r>
    <s v="6173/2015-3"/>
    <x v="34"/>
    <x v="9"/>
    <d v="2015-11-24T00:00:00"/>
    <d v="1899-12-30T00:00:00"/>
    <n v="6"/>
    <d v="2015-11-24T00:00:00"/>
    <x v="20"/>
    <s v="."/>
    <n v="53"/>
    <s v="."/>
    <s v="."/>
    <s v="."/>
    <s v="."/>
    <s v="."/>
    <s v="."/>
    <s v="."/>
    <m/>
    <s v="IP"/>
    <n v="0.38"/>
    <s v="Jawornicki"/>
    <d v="2015-11-24T00:00:00"/>
    <m/>
    <x v="0"/>
    <s v="."/>
    <s v="."/>
    <s v="."/>
    <s v="."/>
    <s v="."/>
    <s v="."/>
    <s v="."/>
    <s v="."/>
    <x v="0"/>
    <x v="0"/>
    <x v="0"/>
  </r>
  <r>
    <s v="6172/2015-3"/>
    <x v="54"/>
    <x v="7"/>
    <m/>
    <d v="2015-11-26T00:00:00"/>
    <n v="1"/>
    <d v="2015-11-26T00:00:00"/>
    <x v="8"/>
    <s v="."/>
    <n v="127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226/2015-1"/>
    <x v="55"/>
    <x v="8"/>
    <d v="2015-11-19T00:00:00"/>
    <d v="1900-01-05T00:00:00"/>
    <n v="1"/>
    <d v="2015-11-25T00:00:00"/>
    <x v="29"/>
    <s v="."/>
    <n v="2438"/>
    <n v="2700"/>
    <n v="96"/>
    <s v="."/>
    <s v="ok"/>
    <s v="ok"/>
    <s v="Raflatac Vellum TTR RH9X 230mm"/>
    <s v="."/>
    <m/>
    <s v="MŁ"/>
    <n v="4"/>
    <s v="Kosma"/>
    <d v="2015-11-23T00:00:00"/>
    <m/>
    <x v="0"/>
    <s v="."/>
    <s v="."/>
    <n v="650"/>
    <s v="."/>
    <s v="."/>
    <s v="."/>
    <s v="."/>
    <s v="."/>
    <x v="0"/>
    <x v="0"/>
    <x v="0"/>
  </r>
  <r>
    <s v="6206/2015-3"/>
    <x v="56"/>
    <x v="3"/>
    <d v="2015-11-19T00:00:00"/>
    <d v="1899-12-31T00:00:00"/>
    <n v="1"/>
    <d v="2015-11-20T00:00:00"/>
    <x v="14"/>
    <s v="."/>
    <n v="523"/>
    <s v="."/>
    <s v="."/>
    <s v="."/>
    <s v="."/>
    <s v="."/>
    <s v="."/>
    <s v="."/>
    <m/>
    <s v="IP"/>
    <m/>
    <s v="."/>
    <d v="2015-11-19T00:00:00"/>
    <m/>
    <x v="0"/>
    <s v="."/>
    <s v="."/>
    <s v="."/>
    <s v="."/>
    <s v="."/>
    <s v="."/>
    <s v="."/>
    <s v="."/>
    <x v="0"/>
    <x v="0"/>
    <x v="0"/>
  </r>
  <r>
    <s v="6190/2015-2"/>
    <x v="53"/>
    <x v="3"/>
    <d v="2015-11-23T00:00:00"/>
    <d v="1899-12-31T00:00:00"/>
    <n v="1"/>
    <d v="2015-11-24T00:00:00"/>
    <x v="28"/>
    <s v="."/>
    <n v="3810"/>
    <s v="."/>
    <s v="."/>
    <s v="."/>
    <s v="."/>
    <s v="."/>
    <s v="."/>
    <s v="."/>
    <m/>
    <s v="TB"/>
    <n v="0.75"/>
    <s v="Maciąg"/>
    <d v="2015-11-23T00:00:00"/>
    <m/>
    <x v="0"/>
    <s v="."/>
    <s v="."/>
    <s v="."/>
    <s v="."/>
    <s v="."/>
    <s v="."/>
    <s v="."/>
    <s v="."/>
    <x v="0"/>
    <x v="0"/>
    <x v="0"/>
  </r>
  <r>
    <s v="6248/2015-1"/>
    <x v="57"/>
    <x v="4"/>
    <d v="2015-11-23T00:00:00"/>
    <d v="1900-01-02T00:00:00"/>
    <n v="6"/>
    <d v="2015-11-26T00:00:00"/>
    <x v="12"/>
    <s v="."/>
    <n v="238"/>
    <n v="300"/>
    <n v="75"/>
    <s v="ok"/>
    <s v="ok"/>
    <s v="ok"/>
    <s v="bazowe"/>
    <s v="."/>
    <m/>
    <s v="KC"/>
    <n v="0.57999999999999996"/>
    <s v="Mucha Ł."/>
    <d v="2015-11-23T00:00:00"/>
    <d v="2015-11-30T00:00:00"/>
    <x v="0"/>
    <s v="."/>
    <s v="."/>
    <s v="."/>
    <s v="."/>
    <s v="."/>
    <s v="."/>
    <s v="."/>
    <s v="."/>
    <x v="0"/>
    <x v="0"/>
    <x v="0"/>
  </r>
  <r>
    <s v="6170/2015-3"/>
    <x v="58"/>
    <x v="12"/>
    <d v="2015-11-20T00:00:00"/>
    <d v="1900-01-05T00:00:00"/>
    <n v="1"/>
    <d v="2015-11-26T00:00:00"/>
    <x v="8"/>
    <s v="."/>
    <n v="7"/>
    <s v="."/>
    <s v="."/>
    <s v="."/>
    <s v="."/>
    <s v="."/>
    <s v="."/>
    <s v="."/>
    <m/>
    <s v="KC"/>
    <n v="0.5"/>
    <s v="Goclon"/>
    <d v="2015-11-20T00:00:00"/>
    <m/>
    <x v="0"/>
    <s v="."/>
    <s v="."/>
    <s v="."/>
    <s v="."/>
    <s v="."/>
    <s v="."/>
    <s v="."/>
    <s v="."/>
    <x v="0"/>
    <x v="0"/>
    <x v="0"/>
  </r>
  <r>
    <s v="6193/2015-2"/>
    <x v="8"/>
    <x v="3"/>
    <d v="2015-11-23T00:00:00"/>
    <d v="1899-12-31T00:00:00"/>
    <n v="1"/>
    <d v="2015-11-24T00:00:00"/>
    <x v="7"/>
    <s v="."/>
    <n v="1587"/>
    <s v="."/>
    <s v="."/>
    <s v="."/>
    <s v="."/>
    <s v="."/>
    <s v="."/>
    <s v="."/>
    <m/>
    <s v="IP"/>
    <n v="0.42"/>
    <s v="Walaszczyk"/>
    <d v="2015-11-23T00:00:00"/>
    <m/>
    <x v="0"/>
    <s v="."/>
    <s v="."/>
    <s v="."/>
    <s v="."/>
    <s v="."/>
    <s v="."/>
    <s v="."/>
    <s v="."/>
    <x v="0"/>
    <x v="0"/>
    <x v="0"/>
  </r>
  <r>
    <s v="5568/2015-2"/>
    <x v="59"/>
    <x v="7"/>
    <m/>
    <d v="2015-12-01T00:00:00"/>
    <n v="1"/>
    <d v="2015-12-01T00:00:00"/>
    <x v="2"/>
    <s v="."/>
    <n v="36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170/2015-4"/>
    <x v="58"/>
    <x v="7"/>
    <d v="2015-11-20T00:00:00"/>
    <d v="1900-01-05T00:00:00"/>
    <n v="1"/>
    <d v="2015-11-26T00:00:00"/>
    <x v="8"/>
    <s v="."/>
    <n v="7"/>
    <s v="."/>
    <s v="."/>
    <s v="."/>
    <s v="."/>
    <s v="."/>
    <s v="."/>
    <s v="."/>
    <m/>
    <s v="KC"/>
    <n v="0.5"/>
    <s v="Linert"/>
    <d v="2015-11-20T00:00:00"/>
    <m/>
    <x v="0"/>
    <s v="."/>
    <s v="."/>
    <s v="."/>
    <s v="."/>
    <s v="."/>
    <s v="."/>
    <s v="."/>
    <s v="."/>
    <x v="0"/>
    <x v="0"/>
    <x v="0"/>
  </r>
  <r>
    <s v="6192/2015-3"/>
    <x v="60"/>
    <x v="3"/>
    <d v="2015-11-24T00:00:00"/>
    <d v="1900-01-01T00:00:00"/>
    <n v="1"/>
    <d v="2015-11-26T00:00:00"/>
    <x v="17"/>
    <s v="próba"/>
    <n v="12"/>
    <s v="."/>
    <s v="."/>
    <s v="."/>
    <s v="."/>
    <s v="."/>
    <s v="."/>
    <s v="."/>
    <m/>
    <s v="DG"/>
    <n v="0.08"/>
    <s v="Walaszczyk"/>
    <d v="2015-11-24T00:00:00"/>
    <m/>
    <x v="0"/>
    <s v="."/>
    <s v="."/>
    <s v="."/>
    <s v="."/>
    <s v="."/>
    <s v="."/>
    <s v="."/>
    <s v="."/>
    <x v="0"/>
    <x v="0"/>
    <x v="0"/>
  </r>
  <r>
    <s v="6170/2015-5"/>
    <x v="58"/>
    <x v="3"/>
    <d v="2015-11-20T00:00:00"/>
    <d v="1900-01-05T00:00:00"/>
    <n v="1"/>
    <d v="2015-11-26T00:00:00"/>
    <x v="8"/>
    <s v="."/>
    <n v="7"/>
    <s v="."/>
    <s v="."/>
    <s v="."/>
    <s v="."/>
    <s v="."/>
    <s v="."/>
    <s v="."/>
    <m/>
    <s v="KC"/>
    <n v="0.17"/>
    <s v="Linert"/>
    <d v="2015-11-20T00:00:00"/>
    <m/>
    <x v="0"/>
    <s v="."/>
    <s v="."/>
    <s v="."/>
    <s v="."/>
    <s v="."/>
    <s v="."/>
    <s v="."/>
    <s v="."/>
    <x v="0"/>
    <x v="0"/>
    <x v="0"/>
  </r>
  <r>
    <s v="6203/2015-1"/>
    <x v="61"/>
    <x v="5"/>
    <d v="2015-11-23T00:00:00"/>
    <d v="1899-12-31T00:00:00"/>
    <n v="3"/>
    <d v="2015-11-24T00:00:00"/>
    <x v="30"/>
    <s v="."/>
    <n v="64"/>
    <n v="200"/>
    <n v="120"/>
    <s v="."/>
    <s v="ok"/>
    <s v="ok"/>
    <s v="Raflatac Thermal ECO 300 RP51 256mm"/>
    <s v="rano poproszę"/>
    <m/>
    <s v="IP"/>
    <n v="1.33"/>
    <s v="Mucha M."/>
    <d v="2015-11-23T00:00:00"/>
    <m/>
    <x v="0"/>
    <s v="."/>
    <s v="."/>
    <s v="."/>
    <s v="."/>
    <s v="."/>
    <s v="."/>
    <s v="."/>
    <s v="."/>
    <x v="0"/>
    <x v="0"/>
    <x v="0"/>
  </r>
  <r>
    <s v="6234/2015-2"/>
    <x v="36"/>
    <x v="9"/>
    <d v="2015-11-24T00:00:00"/>
    <d v="1899-12-31T00:00:00"/>
    <n v="8"/>
    <d v="2015-11-25T00:00:00"/>
    <x v="22"/>
    <s v="."/>
    <n v="50"/>
    <s v="."/>
    <s v="."/>
    <s v="."/>
    <s v="."/>
    <s v="."/>
    <s v="."/>
    <s v="."/>
    <m/>
    <s v="MŁ"/>
    <n v="0.25"/>
    <s v="Jawornicki"/>
    <d v="2015-11-24T00:00:00"/>
    <m/>
    <x v="0"/>
    <s v="."/>
    <s v="."/>
    <s v="."/>
    <s v="."/>
    <s v="."/>
    <s v="."/>
    <s v="."/>
    <s v="."/>
    <x v="0"/>
    <x v="0"/>
    <x v="0"/>
  </r>
  <r>
    <s v="6171/2015-3"/>
    <x v="62"/>
    <x v="12"/>
    <d v="2015-11-20T00:00:00"/>
    <d v="1900-01-05T00:00:00"/>
    <n v="4"/>
    <d v="2015-11-26T00:00:00"/>
    <x v="8"/>
    <s v="."/>
    <n v="71"/>
    <s v="."/>
    <s v="."/>
    <s v="."/>
    <s v="."/>
    <s v="."/>
    <s v="."/>
    <s v="."/>
    <m/>
    <s v="KC"/>
    <n v="0.17"/>
    <s v="Goclon"/>
    <d v="2015-11-20T00:00:00"/>
    <m/>
    <x v="0"/>
    <s v="."/>
    <s v="."/>
    <s v="."/>
    <s v="."/>
    <s v="."/>
    <s v="."/>
    <s v="."/>
    <s v="."/>
    <x v="0"/>
    <x v="0"/>
    <x v="0"/>
  </r>
  <r>
    <s v="6112/2015-2"/>
    <x v="39"/>
    <x v="9"/>
    <d v="2015-11-23T00:00:00"/>
    <d v="1900-01-02T00:00:00"/>
    <n v="11"/>
    <d v="2015-11-26T00:00:00"/>
    <x v="11"/>
    <s v="."/>
    <n v="508"/>
    <s v="."/>
    <s v="."/>
    <s v="."/>
    <s v="."/>
    <s v="."/>
    <s v="."/>
    <s v="."/>
    <m/>
    <s v="KC"/>
    <n v="1.83"/>
    <s v="Jawornicki"/>
    <d v="2015-11-23T00:00:00"/>
    <m/>
    <x v="0"/>
    <s v="."/>
    <s v="."/>
    <s v="."/>
    <s v="."/>
    <s v="."/>
    <s v="."/>
    <s v="."/>
    <s v="."/>
    <x v="0"/>
    <x v="0"/>
    <x v="0"/>
  </r>
  <r>
    <s v="S-C3-11/2015"/>
    <x v="6"/>
    <x v="0"/>
    <d v="2015-11-23T00:00:00"/>
    <d v="1899-12-30T00:00:00"/>
    <n v="1"/>
    <d v="2015-11-23T00:00:00"/>
    <x v="6"/>
    <s v="."/>
    <s v="."/>
    <s v="."/>
    <s v="."/>
    <s v="."/>
    <s v="."/>
    <s v="."/>
    <s v="."/>
    <s v="."/>
    <m/>
    <s v="."/>
    <n v="0.17"/>
    <s v="Józefczyk"/>
    <d v="2015-11-23T00:00:00"/>
    <m/>
    <x v="0"/>
    <s v="."/>
    <s v="."/>
    <s v="."/>
    <s v="."/>
    <s v="."/>
    <s v="."/>
    <s v="."/>
    <s v="."/>
    <x v="0"/>
    <x v="0"/>
    <x v="0"/>
  </r>
  <r>
    <s v="6171/2015-4"/>
    <x v="62"/>
    <x v="7"/>
    <d v="2015-11-20T00:00:00"/>
    <d v="1900-01-05T00:00:00"/>
    <n v="1"/>
    <d v="2015-11-26T00:00:00"/>
    <x v="8"/>
    <s v="."/>
    <n v="71"/>
    <s v="."/>
    <s v="."/>
    <s v="."/>
    <s v="."/>
    <s v="."/>
    <s v="."/>
    <s v="."/>
    <m/>
    <s v="KC"/>
    <n v="0.25"/>
    <s v="Śliwińska O."/>
    <d v="2015-11-20T00:00:00"/>
    <m/>
    <x v="0"/>
    <s v="."/>
    <s v="."/>
    <s v="."/>
    <s v="."/>
    <s v="."/>
    <s v="."/>
    <s v="."/>
    <s v="."/>
    <x v="0"/>
    <x v="0"/>
    <x v="0"/>
  </r>
  <r>
    <s v="6171/2015-5"/>
    <x v="62"/>
    <x v="3"/>
    <d v="2015-11-20T00:00:00"/>
    <d v="1900-01-05T00:00:00"/>
    <n v="1"/>
    <d v="2015-11-26T00:00:00"/>
    <x v="8"/>
    <s v="."/>
    <n v="71"/>
    <s v="."/>
    <s v="."/>
    <s v="."/>
    <s v="."/>
    <s v="."/>
    <s v="."/>
    <s v="."/>
    <m/>
    <s v="KC"/>
    <n v="0.17"/>
    <s v="Śliwińska O."/>
    <d v="2015-11-20T00:00:00"/>
    <m/>
    <x v="0"/>
    <s v="."/>
    <s v="."/>
    <s v="."/>
    <s v="."/>
    <s v="."/>
    <s v="."/>
    <s v="."/>
    <s v="."/>
    <x v="0"/>
    <x v="0"/>
    <x v="0"/>
  </r>
  <r>
    <s v="5142/2015-3"/>
    <x v="63"/>
    <x v="7"/>
    <m/>
    <d v="2015-12-01T00:00:00"/>
    <n v="1"/>
    <d v="2015-12-01T00:00:00"/>
    <x v="27"/>
    <s v="."/>
    <s v=".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038/2015-3"/>
    <x v="64"/>
    <x v="3"/>
    <d v="2015-11-24T00:00:00"/>
    <d v="1900-01-02T00:00:00"/>
    <n v="1"/>
    <d v="2015-11-27T00:00:00"/>
    <x v="31"/>
    <s v="."/>
    <s v="."/>
    <s v="."/>
    <s v="."/>
    <s v="."/>
    <s v="."/>
    <s v="."/>
    <s v="."/>
    <s v="."/>
    <m/>
    <s v="MŁ"/>
    <n v="0.17"/>
    <s v="Walaszczyk"/>
    <d v="2015-11-24T00:00:00"/>
    <m/>
    <x v="0"/>
    <s v="."/>
    <s v="."/>
    <s v="."/>
    <s v="."/>
    <s v="."/>
    <s v="."/>
    <s v="."/>
    <s v="."/>
    <x v="0"/>
    <x v="0"/>
    <x v="0"/>
  </r>
  <r>
    <s v="6113/2015-4"/>
    <x v="27"/>
    <x v="3"/>
    <d v="2015-11-23T00:00:00"/>
    <d v="1900-01-02T00:00:00"/>
    <n v="1"/>
    <d v="2015-11-26T00:00:00"/>
    <x v="11"/>
    <s v="."/>
    <n v="2751"/>
    <s v="."/>
    <s v="."/>
    <s v="."/>
    <s v="."/>
    <s v="."/>
    <s v="."/>
    <s v="."/>
    <m/>
    <s v="KC"/>
    <n v="1"/>
    <s v="Śliwińska O."/>
    <d v="2015-11-23T00:00:00"/>
    <m/>
    <x v="0"/>
    <s v="."/>
    <s v="."/>
    <s v="."/>
    <s v="."/>
    <s v="."/>
    <s v="."/>
    <s v="."/>
    <s v="."/>
    <x v="0"/>
    <x v="0"/>
    <x v="0"/>
  </r>
  <r>
    <s v="6203/2015-2"/>
    <x v="61"/>
    <x v="3"/>
    <d v="2015-11-23T00:00:00"/>
    <d v="1899-12-31T00:00:00"/>
    <n v="1"/>
    <d v="2015-11-24T00:00:00"/>
    <x v="30"/>
    <s v="."/>
    <n v="64"/>
    <s v="."/>
    <s v="."/>
    <s v="."/>
    <s v="."/>
    <s v="."/>
    <s v="."/>
    <s v="."/>
    <m/>
    <s v="IP"/>
    <n v="0.08"/>
    <s v="Maciąg"/>
    <d v="2015-11-23T00:00:00"/>
    <m/>
    <x v="0"/>
    <s v="."/>
    <s v="."/>
    <s v="."/>
    <s v="."/>
    <s v="."/>
    <s v="."/>
    <s v="."/>
    <s v="."/>
    <x v="0"/>
    <x v="0"/>
    <x v="0"/>
  </r>
  <r>
    <s v="5831/2015-2"/>
    <x v="65"/>
    <x v="3"/>
    <d v="2015-11-24T00:00:00"/>
    <d v="1900-01-05T00:00:00"/>
    <n v="1"/>
    <d v="2015-11-30T00:00:00"/>
    <x v="32"/>
    <s v="."/>
    <n v="4295"/>
    <s v="."/>
    <s v="."/>
    <s v="."/>
    <s v="."/>
    <s v="."/>
    <s v="."/>
    <s v="."/>
    <m/>
    <s v="MŁ"/>
    <n v="0.75"/>
    <s v="Maciąg"/>
    <d v="2015-11-24T00:00:00"/>
    <m/>
    <x v="0"/>
    <s v="."/>
    <s v="."/>
    <s v="."/>
    <s v="."/>
    <s v="."/>
    <s v="."/>
    <s v="."/>
    <s v="."/>
    <x v="0"/>
    <x v="0"/>
    <x v="0"/>
  </r>
  <r>
    <s v="6111/2015-4"/>
    <x v="14"/>
    <x v="3"/>
    <d v="2015-11-23T00:00:00"/>
    <d v="1900-01-02T00:00:00"/>
    <n v="1"/>
    <d v="2015-11-26T00:00:00"/>
    <x v="11"/>
    <s v="."/>
    <n v="1270"/>
    <s v="."/>
    <s v="."/>
    <s v="."/>
    <s v="."/>
    <s v="."/>
    <s v="."/>
    <s v="."/>
    <m/>
    <s v="KC"/>
    <n v="0.25"/>
    <s v="Walaszczyk"/>
    <d v="2015-11-23T00:00:00"/>
    <m/>
    <x v="0"/>
    <s v="."/>
    <s v="."/>
    <s v="."/>
    <s v="."/>
    <s v="."/>
    <s v="."/>
    <s v="."/>
    <s v="."/>
    <x v="0"/>
    <x v="0"/>
    <x v="0"/>
  </r>
  <r>
    <s v="6112/2015-4"/>
    <x v="39"/>
    <x v="3"/>
    <d v="2015-11-23T00:00:00"/>
    <d v="1900-01-02T00:00:00"/>
    <n v="1"/>
    <d v="2015-11-26T00:00:00"/>
    <x v="11"/>
    <s v="."/>
    <n v="508"/>
    <s v="."/>
    <s v="."/>
    <s v="."/>
    <s v="."/>
    <s v="."/>
    <s v="."/>
    <s v="."/>
    <m/>
    <s v="KC"/>
    <n v="0.25"/>
    <s v="Śliwińska O."/>
    <d v="2015-11-23T00:00:00"/>
    <m/>
    <x v="0"/>
    <s v="."/>
    <s v="."/>
    <s v="."/>
    <s v="."/>
    <s v="."/>
    <s v="."/>
    <s v="."/>
    <s v="."/>
    <x v="0"/>
    <x v="0"/>
    <x v="0"/>
  </r>
  <r>
    <s v="6116/2015-3"/>
    <x v="40"/>
    <x v="3"/>
    <d v="2015-11-23T00:00:00"/>
    <d v="1900-01-02T00:00:00"/>
    <n v="1"/>
    <d v="2015-11-26T00:00:00"/>
    <x v="11"/>
    <s v="."/>
    <n v="382"/>
    <s v="."/>
    <s v="."/>
    <s v="."/>
    <s v="."/>
    <s v="."/>
    <s v="."/>
    <s v="."/>
    <m/>
    <s v="KC"/>
    <m/>
    <s v="."/>
    <d v="2015-11-23T00:00:00"/>
    <m/>
    <x v="0"/>
    <s v="."/>
    <s v="."/>
    <s v="."/>
    <s v="."/>
    <s v="."/>
    <s v="."/>
    <s v="."/>
    <s v="."/>
    <x v="0"/>
    <x v="0"/>
    <x v="0"/>
  </r>
  <r>
    <s v="6175/2015-1"/>
    <x v="42"/>
    <x v="12"/>
    <d v="2015-11-20T00:00:00"/>
    <d v="1900-01-02T00:00:00"/>
    <n v="5"/>
    <d v="2015-11-23T00:00:00"/>
    <x v="23"/>
    <s v="."/>
    <n v="928"/>
    <n v="1100"/>
    <n v="78"/>
    <s v="."/>
    <s v="ok"/>
    <s v="ok"/>
    <s v="Raflatac Raflacoat RH09 220mm"/>
    <s v="."/>
    <m/>
    <s v="DG"/>
    <n v="1.5"/>
    <s v="Grześkowiak"/>
    <d v="2015-11-20T00:00:00"/>
    <m/>
    <x v="0"/>
    <s v="z C3"/>
    <s v="."/>
    <s v="."/>
    <s v="."/>
    <s v="."/>
    <s v="."/>
    <s v="."/>
    <s v="."/>
    <x v="0"/>
    <x v="0"/>
    <x v="0"/>
  </r>
  <r>
    <s v="4746/2015-4"/>
    <x v="28"/>
    <x v="3"/>
    <m/>
    <d v="2015-11-30T00:00:00"/>
    <n v="1"/>
    <d v="2015-11-30T00:00:00"/>
    <x v="19"/>
    <s v="."/>
    <n v="13758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0"/>
    <x v="0"/>
    <x v="0"/>
  </r>
  <r>
    <s v="6221/2015-1"/>
    <x v="66"/>
    <x v="8"/>
    <d v="2015-11-20T00:00:00"/>
    <d v="1900-01-03T00:00:00"/>
    <n v="2"/>
    <d v="2015-11-24T00:00:00"/>
    <x v="17"/>
    <s v="."/>
    <n v="163"/>
    <n v="300"/>
    <n v="72"/>
    <s v="."/>
    <s v="ok"/>
    <s v="ok"/>
    <s v="Avery PET Transfer WH TOP S8001 123mm"/>
    <s v="."/>
    <m/>
    <s v="DG"/>
    <n v="1.33"/>
    <s v="Kosma"/>
    <d v="2015-11-23T00:00:00"/>
    <m/>
    <x v="0"/>
    <s v="z C3"/>
    <s v="."/>
    <s v="."/>
    <s v="."/>
    <s v="."/>
    <s v="."/>
    <s v="."/>
    <s v="."/>
    <x v="0"/>
    <x v="0"/>
    <x v="0"/>
  </r>
  <r>
    <s v="5917/2015-5"/>
    <x v="51"/>
    <x v="3"/>
    <m/>
    <d v="2015-12-01T00:00:00"/>
    <n v="1"/>
    <d v="2015-12-01T00:00:00"/>
    <x v="27"/>
    <s v="."/>
    <n v="63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155/2015-1"/>
    <x v="25"/>
    <x v="12"/>
    <d v="2015-11-19T00:00:00"/>
    <d v="1900-01-03T00:00:00"/>
    <n v="6"/>
    <d v="2015-11-23T00:00:00"/>
    <x v="3"/>
    <s v="."/>
    <n v="1190"/>
    <n v="1300"/>
    <n v="75"/>
    <s v="."/>
    <s v="ok"/>
    <s v="ok"/>
    <s v="Raflatac Vellum RH09 258mm"/>
    <s v="17.11"/>
    <m/>
    <s v="MŁ"/>
    <n v="2"/>
    <s v="Grześkowiak"/>
    <d v="2015-11-20T00:00:00"/>
    <m/>
    <x v="0"/>
    <s v="z C3"/>
    <s v="."/>
    <s v="."/>
    <s v="."/>
    <s v="."/>
    <s v="."/>
    <s v="."/>
    <s v="."/>
    <x v="0"/>
    <x v="0"/>
    <x v="0"/>
  </r>
  <r>
    <s v="5909/2015-2"/>
    <x v="67"/>
    <x v="3"/>
    <d v="2015-11-24T00:00:00"/>
    <d v="1900-01-06T00:00:00"/>
    <n v="1"/>
    <d v="2015-12-01T00:00:00"/>
    <x v="27"/>
    <s v="."/>
    <s v="."/>
    <s v="."/>
    <s v="."/>
    <s v="."/>
    <s v="."/>
    <s v="."/>
    <s v="."/>
    <s v="."/>
    <m/>
    <s v="KC"/>
    <n v="0.83"/>
    <s v="Maciąg"/>
    <d v="2015-11-24T00:00:00"/>
    <m/>
    <x v="0"/>
    <s v="."/>
    <s v="."/>
    <s v="."/>
    <s v="."/>
    <s v="."/>
    <s v="."/>
    <s v="."/>
    <s v="."/>
    <x v="1"/>
    <x v="0"/>
    <x v="0"/>
  </r>
  <r>
    <s v="6236/2015-1"/>
    <x v="68"/>
    <x v="12"/>
    <d v="2015-11-20T00:00:00"/>
    <d v="1900-01-05T00:00:00"/>
    <n v="7"/>
    <d v="2015-11-26T00:00:00"/>
    <x v="33"/>
    <s v="."/>
    <n v="274"/>
    <n v="170"/>
    <n v="75"/>
    <s v="."/>
    <s v="ok"/>
    <s v="ok"/>
    <s v="Raflatac Raflacoat RH09 155mm"/>
    <s v="."/>
    <m/>
    <s v="MŁ"/>
    <n v="1.66"/>
    <s v="Grześkowiak"/>
    <d v="2015-11-20T00:00:00"/>
    <m/>
    <x v="0"/>
    <s v="."/>
    <s v="."/>
    <s v="."/>
    <s v="."/>
    <s v="."/>
    <s v="."/>
    <s v="."/>
    <s v="."/>
    <x v="0"/>
    <x v="0"/>
    <x v="0"/>
  </r>
  <r>
    <s v="5568/2015-3"/>
    <x v="59"/>
    <x v="3"/>
    <m/>
    <d v="2015-12-01T00:00:00"/>
    <n v="1"/>
    <d v="2015-12-01T00:00:00"/>
    <x v="2"/>
    <s v="."/>
    <n v="36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198/2015-1"/>
    <x v="69"/>
    <x v="0"/>
    <d v="2015-11-20T00:00:00"/>
    <d v="1900-01-05T00:00:00"/>
    <n v="2"/>
    <d v="2015-11-26T00:00:00"/>
    <x v="12"/>
    <s v="."/>
    <n v="1981"/>
    <n v="2100"/>
    <n v="60"/>
    <s v="."/>
    <s v="ok"/>
    <s v="ok"/>
    <s v="Avery PET Transfer Matt silver 8020 114mm"/>
    <s v="."/>
    <m/>
    <s v="KC"/>
    <n v="2.17"/>
    <s v="Józefczyk"/>
    <d v="2015-11-23T00:00:00"/>
    <m/>
    <x v="0"/>
    <s v="."/>
    <s v="."/>
    <s v="."/>
    <s v="."/>
    <s v="."/>
    <s v="."/>
    <s v="."/>
    <s v="."/>
    <x v="0"/>
    <x v="0"/>
    <x v="0"/>
  </r>
  <r>
    <s v="6172/2015-4"/>
    <x v="54"/>
    <x v="3"/>
    <m/>
    <d v="2015-11-26T00:00:00"/>
    <n v="1"/>
    <d v="2015-11-26T00:00:00"/>
    <x v="8"/>
    <s v="."/>
    <n v="127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5142/2015-4"/>
    <x v="63"/>
    <x v="3"/>
    <m/>
    <d v="2015-12-01T00:00:00"/>
    <n v="1"/>
    <d v="2015-12-01T00:00:00"/>
    <x v="27"/>
    <s v="."/>
    <s v=".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184/2015-2"/>
    <x v="70"/>
    <x v="7"/>
    <m/>
    <d v="2015-12-01T00:00:00"/>
    <n v="1"/>
    <d v="2015-12-01T00:00:00"/>
    <x v="34"/>
    <s v="."/>
    <n v="7620"/>
    <s v="."/>
    <s v="."/>
    <s v="."/>
    <s v="."/>
    <s v="."/>
    <s v="."/>
    <s v="."/>
    <m/>
    <s v="IP"/>
    <m/>
    <s v="."/>
    <m/>
    <d v="2015-11-23T00:00:00"/>
    <x v="1"/>
    <s v="."/>
    <s v="."/>
    <s v="."/>
    <s v="."/>
    <s v="."/>
    <s v="."/>
    <s v="."/>
    <s v="."/>
    <x v="1"/>
    <x v="0"/>
    <x v="0"/>
  </r>
  <r>
    <s v="5141/2015-3"/>
    <x v="67"/>
    <x v="3"/>
    <d v="2015-11-24T00:00:00"/>
    <d v="1900-01-06T00:00:00"/>
    <n v="1"/>
    <d v="2015-12-01T00:00:00"/>
    <x v="27"/>
    <s v="."/>
    <s v="."/>
    <s v="."/>
    <s v="."/>
    <s v="."/>
    <s v="."/>
    <s v="."/>
    <s v="."/>
    <s v="."/>
    <m/>
    <s v="KC"/>
    <n v="0.25"/>
    <s v="Maciąg"/>
    <d v="2015-11-24T00:00:00"/>
    <m/>
    <x v="0"/>
    <s v="."/>
    <s v="."/>
    <s v="."/>
    <s v="."/>
    <s v="."/>
    <s v="."/>
    <s v="."/>
    <s v="."/>
    <x v="1"/>
    <x v="0"/>
    <x v="0"/>
  </r>
  <r>
    <s v="6186/2015-2"/>
    <x v="71"/>
    <x v="3"/>
    <m/>
    <d v="2015-12-01T00:00:00"/>
    <n v="1"/>
    <d v="2015-12-01T00:00:00"/>
    <x v="35"/>
    <s v="."/>
    <n v="1143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4494/2015-3"/>
    <x v="6"/>
    <x v="7"/>
    <d v="2015-10-01T00:00:00"/>
    <d v="1900-03-28T00:00:00"/>
    <n v="1"/>
    <d v="2015-12-28T00:00:00"/>
    <x v="36"/>
    <s v="."/>
    <n v="635"/>
    <n v="750"/>
    <n v="80"/>
    <s v="."/>
    <s v="ok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243/2015-1"/>
    <x v="72"/>
    <x v="12"/>
    <d v="2015-11-20T00:00:00"/>
    <d v="1900-01-03T00:00:00"/>
    <n v="8"/>
    <d v="2015-11-24T00:00:00"/>
    <x v="3"/>
    <s v="."/>
    <n v="531"/>
    <n v="700"/>
    <n v="134"/>
    <s v="."/>
    <s v="ok"/>
    <s v="ok"/>
    <s v="Ritrama RI 837/85 PE Glass clear AP901 220mm"/>
    <s v="."/>
    <m/>
    <s v="MŁ"/>
    <n v="2.17"/>
    <s v="Grześkowiak"/>
    <d v="2015-11-20T00:00:00"/>
    <d v="2015-11-26T00:00:00"/>
    <x v="0"/>
    <s v="."/>
    <s v="."/>
    <s v="."/>
    <s v="."/>
    <s v="."/>
    <s v="."/>
    <s v="."/>
    <s v="."/>
    <x v="0"/>
    <x v="0"/>
    <x v="0"/>
  </r>
  <r>
    <s v="4494/2015-4"/>
    <x v="6"/>
    <x v="3"/>
    <d v="2015-10-01T00:00:00"/>
    <d v="1900-03-28T00:00:00"/>
    <n v="1"/>
    <d v="2015-12-28T00:00:00"/>
    <x v="36"/>
    <s v="."/>
    <n v="635"/>
    <n v="750"/>
    <n v="80"/>
    <s v="."/>
    <s v="ok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184/2015-3"/>
    <x v="70"/>
    <x v="3"/>
    <m/>
    <d v="2015-12-01T00:00:00"/>
    <n v="1"/>
    <d v="2015-12-01T00:00:00"/>
    <x v="34"/>
    <s v="."/>
    <n v="7620"/>
    <s v="."/>
    <s v="."/>
    <s v="."/>
    <s v="."/>
    <s v="."/>
    <s v="."/>
    <s v="."/>
    <m/>
    <s v="IP"/>
    <m/>
    <s v="."/>
    <m/>
    <d v="2015-11-23T00:00:00"/>
    <x v="1"/>
    <s v="."/>
    <s v="."/>
    <s v="."/>
    <s v="."/>
    <s v="."/>
    <s v="."/>
    <s v="."/>
    <s v="."/>
    <x v="1"/>
    <x v="0"/>
    <x v="0"/>
  </r>
  <r>
    <s v="6251/2015-1"/>
    <x v="73"/>
    <x v="5"/>
    <d v="2015-11-23T00:00:00"/>
    <d v="1900-01-02T00:00:00"/>
    <n v="4"/>
    <d v="2015-11-26T00:00:00"/>
    <x v="37"/>
    <s v="."/>
    <n v="5503"/>
    <n v="5900"/>
    <n v="104"/>
    <s v="."/>
    <s v="ok"/>
    <s v="ok"/>
    <s v="Ritrama Thermal ECO HS RP1001 335mm"/>
    <s v="600mb jest, 5300mb 20.11"/>
    <m/>
    <s v="TB"/>
    <n v="5"/>
    <s v="Mucha M."/>
    <d v="2015-11-23T00:00:00"/>
    <m/>
    <x v="0"/>
    <s v="."/>
    <s v="."/>
    <s v="."/>
    <s v="."/>
    <s v="."/>
    <s v="."/>
    <s v="."/>
    <s v="."/>
    <x v="0"/>
    <x v="0"/>
    <x v="0"/>
  </r>
  <r>
    <s v="4495/2015-3"/>
    <x v="6"/>
    <x v="7"/>
    <d v="2015-12-01T00:00:00"/>
    <d v="1900-02-16T00:00:00"/>
    <n v="1"/>
    <d v="2016-01-18T00:00:00"/>
    <x v="36"/>
    <s v="."/>
    <n v="635"/>
    <n v="750"/>
    <n v="80"/>
    <s v="."/>
    <s v="ok"/>
    <s v="."/>
    <s v="."/>
    <s v="."/>
    <m/>
    <s v="MŁ"/>
    <m/>
    <s v="."/>
    <m/>
    <m/>
    <x v="1"/>
    <s v="."/>
    <s v="."/>
    <s v="."/>
    <s v="."/>
    <s v="."/>
    <s v="."/>
    <s v="."/>
    <s v="."/>
    <x v="2"/>
    <x v="0"/>
    <x v="0"/>
  </r>
  <r>
    <s v="4495/2015-4"/>
    <x v="6"/>
    <x v="3"/>
    <d v="2015-12-01T00:00:00"/>
    <d v="1900-02-16T00:00:00"/>
    <n v="1"/>
    <d v="2016-01-18T00:00:00"/>
    <x v="36"/>
    <s v="."/>
    <n v="635"/>
    <n v="750"/>
    <n v="80"/>
    <s v="."/>
    <s v="ok"/>
    <s v="."/>
    <s v="."/>
    <s v="."/>
    <m/>
    <s v="MŁ"/>
    <m/>
    <s v="."/>
    <m/>
    <m/>
    <x v="1"/>
    <s v="."/>
    <s v="."/>
    <s v="."/>
    <s v="."/>
    <s v="."/>
    <s v="."/>
    <s v="."/>
    <s v="."/>
    <x v="2"/>
    <x v="0"/>
    <x v="0"/>
  </r>
  <r>
    <s v="5505/2015-3"/>
    <x v="74"/>
    <x v="7"/>
    <d v="2015-11-24T00:00:00"/>
    <d v="1900-01-19T00:00:00"/>
    <n v="1"/>
    <d v="2015-12-14T00:00:00"/>
    <x v="38"/>
    <s v="."/>
    <n v="157"/>
    <s v="."/>
    <s v="."/>
    <s v="."/>
    <s v="."/>
    <s v="."/>
    <s v="."/>
    <s v="."/>
    <m/>
    <s v="KC"/>
    <n v="0.17"/>
    <s v="Śliwińska O."/>
    <d v="2015-11-24T00:00:00"/>
    <m/>
    <x v="0"/>
    <s v="."/>
    <s v="."/>
    <s v="."/>
    <s v="."/>
    <s v="."/>
    <s v="."/>
    <s v="."/>
    <s v="."/>
    <x v="1"/>
    <x v="0"/>
    <x v="0"/>
  </r>
  <r>
    <s v="6174/2015-2"/>
    <x v="75"/>
    <x v="3"/>
    <m/>
    <d v="2015-12-02T00:00:00"/>
    <n v="1"/>
    <d v="2015-12-02T00:00:00"/>
    <x v="39"/>
    <s v="."/>
    <n v="895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5505/2015-4"/>
    <x v="74"/>
    <x v="3"/>
    <d v="2015-11-24T00:00:00"/>
    <d v="1900-01-19T00:00:00"/>
    <n v="1"/>
    <d v="2015-12-14T00:00:00"/>
    <x v="38"/>
    <s v="."/>
    <n v="157"/>
    <s v="."/>
    <s v="."/>
    <s v="."/>
    <s v="."/>
    <s v="."/>
    <s v="."/>
    <s v="."/>
    <m/>
    <s v="KC"/>
    <n v="0.25"/>
    <s v="Śliwińska O."/>
    <d v="2015-11-24T00:00:00"/>
    <m/>
    <x v="0"/>
    <s v="."/>
    <s v="."/>
    <s v="."/>
    <s v="."/>
    <s v="."/>
    <s v="."/>
    <s v="."/>
    <s v="."/>
    <x v="1"/>
    <x v="0"/>
    <x v="0"/>
  </r>
  <r>
    <s v="6220/2015-3"/>
    <x v="11"/>
    <x v="3"/>
    <d v="2015-11-23T00:00:00"/>
    <d v="1899-12-31T00:00:00"/>
    <n v="1"/>
    <d v="2015-11-24T00:00:00"/>
    <x v="9"/>
    <s v="."/>
    <n v="550"/>
    <s v="."/>
    <s v="."/>
    <s v="."/>
    <s v="."/>
    <s v="."/>
    <s v="."/>
    <s v="."/>
    <m/>
    <s v="DG"/>
    <n v="0.17"/>
    <s v="Maciąg"/>
    <d v="2015-11-23T00:00:00"/>
    <d v="2015-11-26T00:00:00"/>
    <x v="0"/>
    <s v="."/>
    <s v="."/>
    <s v="."/>
    <s v="."/>
    <s v="."/>
    <s v="."/>
    <s v="."/>
    <s v="."/>
    <x v="0"/>
    <x v="0"/>
    <x v="0"/>
  </r>
  <r>
    <s v="6202/2015-3"/>
    <x v="76"/>
    <x v="3"/>
    <m/>
    <d v="2015-11-26T00:00:00"/>
    <n v="1"/>
    <d v="2015-11-26T00:00:00"/>
    <x v="12"/>
    <s v="."/>
    <n v="13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200/2015-3"/>
    <x v="77"/>
    <x v="3"/>
    <m/>
    <d v="2015-11-26T00:00:00"/>
    <n v="1"/>
    <d v="2015-11-26T00:00:00"/>
    <x v="12"/>
    <s v="."/>
    <n v="357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194/2015-3"/>
    <x v="78"/>
    <x v="7"/>
    <d v="2015-11-24T00:00:00"/>
    <d v="1900-01-01T00:00:00"/>
    <n v="1"/>
    <d v="2015-11-26T00:00:00"/>
    <x v="12"/>
    <s v="."/>
    <n v="2286"/>
    <s v="."/>
    <s v="."/>
    <s v="."/>
    <s v="."/>
    <s v="."/>
    <s v="."/>
    <s v="."/>
    <m/>
    <s v="KC"/>
    <n v="0.33"/>
    <s v="Śliwińska O."/>
    <d v="2015-11-24T00:00:00"/>
    <m/>
    <x v="0"/>
    <s v="."/>
    <s v="."/>
    <s v="."/>
    <s v="."/>
    <s v="."/>
    <s v="."/>
    <s v="."/>
    <s v="."/>
    <x v="0"/>
    <x v="0"/>
    <x v="0"/>
  </r>
  <r>
    <s v="6194/2015-4"/>
    <x v="78"/>
    <x v="3"/>
    <d v="2015-11-24T00:00:00"/>
    <d v="1900-01-01T00:00:00"/>
    <n v="1"/>
    <d v="2015-11-26T00:00:00"/>
    <x v="12"/>
    <s v="."/>
    <n v="2286"/>
    <s v="."/>
    <s v="."/>
    <s v="."/>
    <s v="."/>
    <s v="."/>
    <s v="."/>
    <s v="."/>
    <m/>
    <s v="KC"/>
    <n v="0.33"/>
    <s v="Maciąg"/>
    <d v="2015-11-24T00:00:00"/>
    <m/>
    <x v="0"/>
    <s v="."/>
    <s v="."/>
    <s v="."/>
    <s v="."/>
    <s v="."/>
    <s v="."/>
    <s v="."/>
    <s v="."/>
    <x v="0"/>
    <x v="0"/>
    <x v="0"/>
  </r>
  <r>
    <s v="6197/2015-4"/>
    <x v="79"/>
    <x v="7"/>
    <d v="2015-11-24T00:00:00"/>
    <d v="1900-01-01T00:00:00"/>
    <n v="1"/>
    <d v="2015-11-26T00:00:00"/>
    <x v="40"/>
    <s v="."/>
    <n v="365"/>
    <s v="."/>
    <s v="."/>
    <s v="."/>
    <s v="."/>
    <s v="."/>
    <s v="."/>
    <s v="."/>
    <m/>
    <s v="KC"/>
    <n v="0.66"/>
    <s v="Linert"/>
    <d v="2015-11-24T00:00:00"/>
    <m/>
    <x v="0"/>
    <s v="."/>
    <s v="."/>
    <s v="."/>
    <s v="."/>
    <s v="."/>
    <s v="."/>
    <s v="."/>
    <s v="."/>
    <x v="0"/>
    <x v="0"/>
    <x v="0"/>
  </r>
  <r>
    <s v="6197/2015-5"/>
    <x v="79"/>
    <x v="3"/>
    <m/>
    <d v="2015-11-26T00:00:00"/>
    <n v="1"/>
    <d v="2015-11-26T00:00:00"/>
    <x v="40"/>
    <s v="."/>
    <n v="365"/>
    <s v="."/>
    <s v="."/>
    <s v="."/>
    <s v="."/>
    <s v="."/>
    <s v="."/>
    <s v="."/>
    <m/>
    <s v="KC"/>
    <n v="0.08"/>
    <s v="Linert"/>
    <d v="2015-11-24T00:00:00"/>
    <m/>
    <x v="0"/>
    <s v="."/>
    <s v="."/>
    <s v="."/>
    <s v="."/>
    <s v="."/>
    <s v="."/>
    <s v="."/>
    <s v="."/>
    <x v="0"/>
    <x v="0"/>
    <x v="0"/>
  </r>
  <r>
    <s v="6221/2015-2"/>
    <x v="66"/>
    <x v="7"/>
    <d v="2015-11-23T00:00:00"/>
    <d v="1899-12-31T00:00:00"/>
    <n v="1"/>
    <d v="2015-11-24T00:00:00"/>
    <x v="17"/>
    <s v="."/>
    <n v="163"/>
    <s v="."/>
    <s v="."/>
    <s v="."/>
    <s v="."/>
    <s v="."/>
    <s v="."/>
    <s v="."/>
    <m/>
    <s v="DG"/>
    <n v="0.17"/>
    <s v="Śliwińska O."/>
    <d v="2015-11-23T00:00:00"/>
    <m/>
    <x v="0"/>
    <s v="."/>
    <s v="."/>
    <s v="."/>
    <s v="."/>
    <s v="."/>
    <s v="."/>
    <s v="."/>
    <s v="."/>
    <x v="0"/>
    <x v="0"/>
    <x v="0"/>
  </r>
  <r>
    <s v="6192/2015-2"/>
    <x v="60"/>
    <x v="9"/>
    <d v="2015-11-24T00:00:00"/>
    <d v="1900-01-01T00:00:00"/>
    <n v="10"/>
    <d v="2015-11-26T00:00:00"/>
    <x v="17"/>
    <s v="próbka"/>
    <n v="12"/>
    <s v="."/>
    <s v="."/>
    <s v="."/>
    <s v="."/>
    <s v="."/>
    <s v="."/>
    <s v="."/>
    <m/>
    <s v="DG"/>
    <n v="0.5"/>
    <s v="Jawornicki"/>
    <d v="2015-11-24T00:00:00"/>
    <m/>
    <x v="0"/>
    <s v="."/>
    <s v="."/>
    <s v="."/>
    <s v="."/>
    <s v="."/>
    <s v="."/>
    <s v="."/>
    <s v="."/>
    <x v="0"/>
    <x v="0"/>
    <x v="0"/>
  </r>
  <r>
    <s v="6205/2015-3"/>
    <x v="80"/>
    <x v="3"/>
    <d v="2015-11-24T00:00:00"/>
    <d v="1900-01-01T00:00:00"/>
    <n v="1"/>
    <d v="2015-11-26T00:00:00"/>
    <x v="21"/>
    <s v="."/>
    <n v="2286"/>
    <s v="."/>
    <s v="."/>
    <s v="."/>
    <s v="."/>
    <s v="."/>
    <s v="."/>
    <s v="."/>
    <m/>
    <s v="IP"/>
    <m/>
    <s v="."/>
    <d v="2015-11-24T00:00:00"/>
    <m/>
    <x v="0"/>
    <s v="."/>
    <s v="."/>
    <s v="."/>
    <s v="."/>
    <s v="."/>
    <s v="."/>
    <s v="."/>
    <s v="."/>
    <x v="0"/>
    <x v="0"/>
    <x v="0"/>
  </r>
  <r>
    <s v="B32/2015-1"/>
    <x v="81"/>
    <x v="15"/>
    <d v="2015-11-23T00:00:00"/>
    <d v="1899-12-30T00:00:00"/>
    <n v="1"/>
    <d v="2015-11-23T00:00:00"/>
    <x v="41"/>
    <s v="22x17 pilne"/>
    <s v="10000szt"/>
    <s v="."/>
    <s v="."/>
    <s v="."/>
    <s v="."/>
    <s v="."/>
    <s v="."/>
    <s v="."/>
    <m/>
    <s v="IP"/>
    <n v="2"/>
    <s v="Markowski"/>
    <d v="2015-11-23T00:00:00"/>
    <d v="2015-11-26T00:00:00"/>
    <x v="0"/>
    <s v="."/>
    <s v="."/>
    <s v="."/>
    <s v="."/>
    <s v="."/>
    <s v="."/>
    <s v="."/>
    <s v="."/>
    <x v="0"/>
    <x v="0"/>
    <x v="0"/>
  </r>
  <r>
    <s v="B32/2015-2"/>
    <x v="81"/>
    <x v="3"/>
    <d v="2015-11-23T00:00:00"/>
    <d v="1899-12-30T00:00:00"/>
    <n v="1"/>
    <d v="2015-11-23T00:00:00"/>
    <x v="41"/>
    <s v="22x17"/>
    <s v="10000szt"/>
    <s v="."/>
    <s v="."/>
    <s v="."/>
    <s v="."/>
    <s v="."/>
    <s v="."/>
    <s v="."/>
    <m/>
    <s v="IP"/>
    <n v="0.25"/>
    <s v="Markowski"/>
    <d v="2015-11-23T00:00:00"/>
    <d v="2015-11-26T00:00:00"/>
    <x v="0"/>
    <s v="."/>
    <s v="."/>
    <s v="."/>
    <s v="."/>
    <s v="."/>
    <s v="."/>
    <s v="."/>
    <s v="."/>
    <x v="0"/>
    <x v="0"/>
    <x v="0"/>
  </r>
  <r>
    <s v="6221/2015-3"/>
    <x v="66"/>
    <x v="3"/>
    <d v="2015-11-23T00:00:00"/>
    <d v="1899-12-31T00:00:00"/>
    <n v="1"/>
    <d v="2015-11-24T00:00:00"/>
    <x v="17"/>
    <s v="."/>
    <n v="163"/>
    <s v="."/>
    <s v="."/>
    <s v="."/>
    <s v="."/>
    <s v="."/>
    <s v="."/>
    <s v="."/>
    <m/>
    <s v="DG"/>
    <n v="0.17"/>
    <s v="Śliwińska O."/>
    <d v="2015-11-23T00:00:00"/>
    <m/>
    <x v="0"/>
    <s v="."/>
    <s v="."/>
    <s v="."/>
    <s v="."/>
    <s v="."/>
    <s v="."/>
    <s v="."/>
    <s v="."/>
    <x v="0"/>
    <x v="0"/>
    <x v="0"/>
  </r>
  <r>
    <s v="6216/2015-4"/>
    <x v="82"/>
    <x v="3"/>
    <m/>
    <d v="2015-11-26T00:00:00"/>
    <n v="1"/>
    <d v="2015-11-26T00:00:00"/>
    <x v="4"/>
    <s v="."/>
    <n v="108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15/2015-4"/>
    <x v="83"/>
    <x v="3"/>
    <m/>
    <d v="2015-11-26T00:00:00"/>
    <n v="1"/>
    <d v="2015-11-26T00:00:00"/>
    <x v="4"/>
    <s v="."/>
    <n v="78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48/2015-2"/>
    <x v="57"/>
    <x v="2"/>
    <d v="2015-11-24T00:00:00"/>
    <d v="1900-01-01T00:00:00"/>
    <n v="9"/>
    <d v="2015-11-26T00:00:00"/>
    <x v="12"/>
    <s v="."/>
    <n v="238"/>
    <s v="."/>
    <s v="."/>
    <s v="."/>
    <s v="."/>
    <s v="."/>
    <s v="."/>
    <s v="."/>
    <m/>
    <s v="KC"/>
    <n v="1.25"/>
    <s v="Juszczak"/>
    <d v="2015-11-24T00:00:00"/>
    <d v="2015-11-30T00:00:00"/>
    <x v="0"/>
    <s v="."/>
    <s v="."/>
    <s v="."/>
    <s v="."/>
    <s v="."/>
    <s v="."/>
    <s v="."/>
    <s v="."/>
    <x v="0"/>
    <x v="0"/>
    <x v="0"/>
  </r>
  <r>
    <s v="6214/2015-4"/>
    <x v="84"/>
    <x v="3"/>
    <m/>
    <d v="2015-11-26T00:00:00"/>
    <n v="1"/>
    <d v="2015-11-26T00:00:00"/>
    <x v="4"/>
    <s v="."/>
    <n v="108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13/2015-4"/>
    <x v="85"/>
    <x v="3"/>
    <m/>
    <d v="2015-11-26T00:00:00"/>
    <n v="1"/>
    <d v="2015-11-26T00:00:00"/>
    <x v="4"/>
    <s v="."/>
    <n v="73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27/2015-1"/>
    <x v="86"/>
    <x v="16"/>
    <d v="2015-11-23T00:00:00"/>
    <d v="1900-01-02T00:00:00"/>
    <n v="1"/>
    <d v="2015-11-26T00:00:00"/>
    <x v="11"/>
    <s v="."/>
    <n v="1219"/>
    <n v="1600"/>
    <n v="96"/>
    <s v="."/>
    <s v="ok"/>
    <s v="ok"/>
    <s v="Raflatac Jetlaser 70 RP A4 KS 55 220mm"/>
    <s v="."/>
    <m/>
    <s v="KC"/>
    <n v="5.66"/>
    <s v="Olejczuk"/>
    <d v="2015-11-23T00:00:00"/>
    <m/>
    <x v="0"/>
    <s v="."/>
    <s v="."/>
    <n v="1320"/>
    <s v="."/>
    <s v="."/>
    <s v="."/>
    <s v="."/>
    <s v="."/>
    <x v="0"/>
    <x v="0"/>
    <x v="0"/>
  </r>
  <r>
    <s v="6212/2015-4"/>
    <x v="87"/>
    <x v="3"/>
    <m/>
    <d v="2015-11-26T00:00:00"/>
    <n v="1"/>
    <d v="2015-11-26T00:00:00"/>
    <x v="4"/>
    <s v="."/>
    <n v="161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196/2015-2"/>
    <x v="88"/>
    <x v="9"/>
    <d v="2015-11-23T00:00:00"/>
    <d v="1900-01-02T00:00:00"/>
    <n v="16"/>
    <d v="2015-11-26T00:00:00"/>
    <x v="23"/>
    <s v="."/>
    <n v="190"/>
    <s v="."/>
    <s v="."/>
    <s v="."/>
    <s v="."/>
    <s v="."/>
    <s v="."/>
    <s v="."/>
    <m/>
    <s v="DG"/>
    <n v="0.25"/>
    <s v="Jawornicki"/>
    <d v="2015-11-23T00:00:00"/>
    <m/>
    <x v="0"/>
    <s v="."/>
    <s v="."/>
    <s v="."/>
    <s v="."/>
    <s v="."/>
    <s v="."/>
    <s v="."/>
    <s v="."/>
    <x v="0"/>
    <x v="0"/>
    <x v="0"/>
  </r>
  <r>
    <s v="6211/2015-4"/>
    <x v="89"/>
    <x v="3"/>
    <m/>
    <d v="2015-11-26T00:00:00"/>
    <n v="1"/>
    <d v="2015-11-26T00:00:00"/>
    <x v="4"/>
    <s v="."/>
    <n v="113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05/2015-1"/>
    <x v="80"/>
    <x v="2"/>
    <d v="2015-11-20T00:00:00"/>
    <d v="1900-01-05T00:00:00"/>
    <n v="3"/>
    <d v="2015-11-26T00:00:00"/>
    <x v="21"/>
    <s v="."/>
    <n v="2286"/>
    <n v="2600"/>
    <n v="96"/>
    <s v="ok"/>
    <s v="ok"/>
    <s v="ok"/>
    <s v="Raflatac Raflacoat RH9X 260mm"/>
    <s v="."/>
    <m/>
    <s v="IP"/>
    <n v="3.22"/>
    <s v="Juszczak"/>
    <d v="2015-11-20T00:00:00"/>
    <m/>
    <x v="0"/>
    <s v="."/>
    <s v="."/>
    <s v="."/>
    <s v="."/>
    <s v="."/>
    <s v="."/>
    <s v="."/>
    <s v="."/>
    <x v="0"/>
    <x v="0"/>
    <x v="0"/>
  </r>
  <r>
    <s v="6194/2015-1"/>
    <x v="78"/>
    <x v="6"/>
    <d v="2015-11-20T00:00:00"/>
    <d v="1900-01-05T00:00:00"/>
    <n v="1"/>
    <d v="2015-11-26T00:00:00"/>
    <x v="12"/>
    <s v="."/>
    <n v="2286"/>
    <n v="2600"/>
    <n v="72"/>
    <s v="ok"/>
    <s v="ok"/>
    <s v="ok"/>
    <s v="Raflatac Raflacoat RR21 360mm"/>
    <s v="."/>
    <m/>
    <s v="KC"/>
    <n v="3"/>
    <s v="Górski"/>
    <d v="2015-11-20T00:00:00"/>
    <m/>
    <x v="0"/>
    <s v="."/>
    <s v="."/>
    <s v="."/>
    <s v="."/>
    <s v="."/>
    <s v="."/>
    <s v="."/>
    <s v="."/>
    <x v="0"/>
    <x v="0"/>
    <x v="0"/>
  </r>
  <r>
    <s v="6208/2015-4"/>
    <x v="90"/>
    <x v="3"/>
    <m/>
    <d v="2015-11-26T00:00:00"/>
    <n v="1"/>
    <d v="2015-11-26T00:00:00"/>
    <x v="4"/>
    <s v="."/>
    <n v="155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07/2015-4"/>
    <x v="91"/>
    <x v="3"/>
    <m/>
    <d v="2015-11-26T00:00:00"/>
    <n v="1"/>
    <d v="2015-11-26T00:00:00"/>
    <x v="4"/>
    <s v="."/>
    <n v="97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192/2015-1"/>
    <x v="60"/>
    <x v="6"/>
    <d v="2015-11-19T00:00:00"/>
    <d v="1900-01-06T00:00:00"/>
    <n v="2"/>
    <d v="2015-11-26T00:00:00"/>
    <x v="17"/>
    <s v="próbka"/>
    <n v="12"/>
    <n v="300"/>
    <n v="80"/>
    <s v="ok"/>
    <s v="ok"/>
    <s v="ok"/>
    <s v="Avery PET Transfer WH TOP S8001 123mm"/>
    <s v="."/>
    <m/>
    <s v="DG"/>
    <n v="1.66"/>
    <s v="Górski/Turka"/>
    <s v="2015-11-19/2015-11-20"/>
    <m/>
    <x v="0"/>
    <s v="."/>
    <s v="."/>
    <n v="1330"/>
    <s v="."/>
    <s v="."/>
    <s v="."/>
    <s v="."/>
    <s v="."/>
    <x v="0"/>
    <x v="0"/>
    <x v="0"/>
  </r>
  <r>
    <s v="6196/2015-3"/>
    <x v="88"/>
    <x v="3"/>
    <d v="2015-11-23T00:00:00"/>
    <d v="1900-01-02T00:00:00"/>
    <n v="1"/>
    <d v="2015-11-26T00:00:00"/>
    <x v="23"/>
    <s v="."/>
    <n v="190"/>
    <s v="."/>
    <s v="."/>
    <s v="."/>
    <s v="."/>
    <s v="."/>
    <s v="."/>
    <s v="."/>
    <m/>
    <s v="DG"/>
    <n v="0.17"/>
    <s v="Śliwińska O."/>
    <d v="2015-11-23T00:00:00"/>
    <m/>
    <x v="0"/>
    <s v="."/>
    <s v="."/>
    <s v="."/>
    <s v="."/>
    <s v="."/>
    <s v="."/>
    <s v="."/>
    <s v="."/>
    <x v="0"/>
    <x v="0"/>
    <x v="0"/>
  </r>
  <r>
    <s v="6217/2015-2"/>
    <x v="71"/>
    <x v="3"/>
    <m/>
    <d v="2015-12-01T00:00:00"/>
    <n v="1"/>
    <d v="2015-12-01T00:00:00"/>
    <x v="35"/>
    <s v="."/>
    <n v="252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223/2015-3"/>
    <x v="13"/>
    <x v="9"/>
    <m/>
    <d v="2015-11-25T00:00:00"/>
    <n v="1"/>
    <d v="2015-11-25T00:00:00"/>
    <x v="10"/>
    <s v="."/>
    <n v="26"/>
    <s v="."/>
    <s v="."/>
    <s v="."/>
    <s v="."/>
    <s v="."/>
    <s v="."/>
    <s v="."/>
    <m/>
    <s v="KC"/>
    <m/>
    <s v="."/>
    <m/>
    <d v="2015-11-26T00:00:00"/>
    <x v="1"/>
    <s v="."/>
    <s v="."/>
    <s v="."/>
    <s v="."/>
    <s v="."/>
    <s v="."/>
    <s v="."/>
    <s v="."/>
    <x v="0"/>
    <x v="0"/>
    <x v="0"/>
  </r>
  <r>
    <s v="6223/2015-4"/>
    <x v="13"/>
    <x v="7"/>
    <m/>
    <d v="2015-11-25T00:00:00"/>
    <n v="1"/>
    <d v="2015-11-25T00:00:00"/>
    <x v="10"/>
    <s v="."/>
    <n v="26"/>
    <s v="."/>
    <s v="."/>
    <s v="."/>
    <s v="."/>
    <s v="."/>
    <s v="."/>
    <s v="."/>
    <m/>
    <s v="KC"/>
    <m/>
    <s v="."/>
    <m/>
    <d v="2015-11-26T00:00:00"/>
    <x v="1"/>
    <s v="."/>
    <s v="."/>
    <s v="."/>
    <s v="."/>
    <s v="."/>
    <s v="."/>
    <s v="."/>
    <s v="."/>
    <x v="0"/>
    <x v="0"/>
    <x v="0"/>
  </r>
  <r>
    <s v="A719/2015-1"/>
    <x v="92"/>
    <x v="17"/>
    <m/>
    <d v="2015-11-26T00:00:00"/>
    <n v="1"/>
    <d v="2015-11-26T00:00:00"/>
    <x v="12"/>
    <s v="8x110 16 kursów"/>
    <n v="7200"/>
    <s v="."/>
    <s v="."/>
    <s v="."/>
    <s v="."/>
    <s v="TTR302"/>
    <s v="."/>
    <s v="."/>
    <m/>
    <s v="KC"/>
    <n v="8.25"/>
    <s v="Pikul/Krukar"/>
    <d v="2015-11-23T00:00:00"/>
    <m/>
    <x v="0"/>
    <s v="."/>
    <s v="."/>
    <s v="."/>
    <s v="."/>
    <s v="."/>
    <s v="."/>
    <s v="."/>
    <s v="."/>
    <x v="0"/>
    <x v="0"/>
    <x v="0"/>
  </r>
  <r>
    <s v="6187/2015-2"/>
    <x v="93"/>
    <x v="3"/>
    <m/>
    <d v="2015-12-01T00:00:00"/>
    <n v="1"/>
    <d v="2015-12-01T00:00:00"/>
    <x v="35"/>
    <s v="."/>
    <n v="5429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225/2015-3"/>
    <x v="94"/>
    <x v="3"/>
    <m/>
    <d v="2015-11-27T00:00:00"/>
    <n v="1"/>
    <d v="2015-11-27T00:00:00"/>
    <x v="42"/>
    <s v="."/>
    <n v="1219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197/2015-1"/>
    <x v="79"/>
    <x v="4"/>
    <d v="2015-11-18T00:00:00"/>
    <d v="1900-01-07T00:00:00"/>
    <n v="2"/>
    <d v="2015-11-26T00:00:00"/>
    <x v="40"/>
    <s v="."/>
    <n v="365"/>
    <n v="600"/>
    <n v="96"/>
    <s v="ok"/>
    <s v="ok"/>
    <s v="ok"/>
    <s v="Avery PP NG TOP WH TCU S692N 150mm"/>
    <s v="."/>
    <m/>
    <s v="KC"/>
    <n v="1"/>
    <s v="Mucha Ł."/>
    <d v="2015-11-24T00:00:00"/>
    <m/>
    <x v="0"/>
    <s v="."/>
    <s v="."/>
    <s v="."/>
    <s v="."/>
    <s v="."/>
    <s v="."/>
    <s v="."/>
    <s v="."/>
    <x v="0"/>
    <x v="0"/>
    <x v="0"/>
  </r>
  <r>
    <s v="6196/2015-1"/>
    <x v="88"/>
    <x v="6"/>
    <d v="2015-11-20T00:00:00"/>
    <d v="1900-01-05T00:00:00"/>
    <n v="5"/>
    <d v="2015-11-26T00:00:00"/>
    <x v="23"/>
    <s v="."/>
    <n v="190"/>
    <n v="500"/>
    <n v="80"/>
    <s v="ok"/>
    <s v="ok"/>
    <s v="ok"/>
    <s v="Raflatac Raflacoat RR21 135mm"/>
    <s v="."/>
    <m/>
    <s v="DG"/>
    <n v="1.25"/>
    <s v="Górski"/>
    <d v="2015-11-20T00:00:00"/>
    <m/>
    <x v="0"/>
    <s v="."/>
    <s v="."/>
    <s v="."/>
    <s v="."/>
    <s v="."/>
    <s v="."/>
    <s v="."/>
    <s v="."/>
    <x v="0"/>
    <x v="0"/>
    <x v="0"/>
  </r>
  <r>
    <s v="S-C2-11/2015"/>
    <x v="6"/>
    <x v="8"/>
    <d v="2015-11-23T00:00:00"/>
    <d v="1899-12-30T00:00:00"/>
    <n v="3"/>
    <d v="2015-11-23T00:00:00"/>
    <x v="6"/>
    <s v="."/>
    <s v="."/>
    <s v="."/>
    <s v="."/>
    <s v="."/>
    <s v="."/>
    <s v="."/>
    <s v="."/>
    <s v="."/>
    <m/>
    <s v="."/>
    <n v="2"/>
    <s v="Kosma"/>
    <d v="2015-11-23T00:00:00"/>
    <m/>
    <x v="0"/>
    <s v="."/>
    <s v="."/>
    <n v="1200"/>
    <s v="."/>
    <s v="."/>
    <s v="."/>
    <s v="."/>
    <s v="."/>
    <x v="0"/>
    <x v="0"/>
    <x v="0"/>
  </r>
  <r>
    <s v="6116/2015-1"/>
    <x v="40"/>
    <x v="0"/>
    <d v="2015-11-23T00:00:00"/>
    <d v="1900-01-02T00:00:00"/>
    <n v="3"/>
    <d v="2015-11-26T00:00:00"/>
    <x v="11"/>
    <s v="."/>
    <n v="382"/>
    <n v="550"/>
    <n v="80"/>
    <s v="."/>
    <s v="ok"/>
    <s v="ok"/>
    <s v="Avery PET Transfer White PT S 8020 125mm"/>
    <s v="17.11"/>
    <m/>
    <s v="KC"/>
    <n v="2"/>
    <s v="Józefczyk"/>
    <d v="2015-11-23T00:00:00"/>
    <m/>
    <x v="0"/>
    <s v="."/>
    <s v="."/>
    <s v="."/>
    <s v="."/>
    <s v="."/>
    <s v="."/>
    <s v="."/>
    <s v="."/>
    <x v="0"/>
    <x v="0"/>
    <x v="0"/>
  </r>
  <r>
    <s v="6178/2015-4"/>
    <x v="21"/>
    <x v="3"/>
    <d v="2015-11-23T00:00:00"/>
    <d v="1899-12-30T00:00:00"/>
    <n v="1"/>
    <d v="2015-11-23T00:00:00"/>
    <x v="17"/>
    <s v="."/>
    <n v="247"/>
    <s v="."/>
    <s v="."/>
    <s v="."/>
    <s v="."/>
    <s v="."/>
    <s v="."/>
    <s v="."/>
    <m/>
    <s v="DG"/>
    <m/>
    <s v="."/>
    <d v="2015-11-23T00:00:00"/>
    <m/>
    <x v="0"/>
    <s v="."/>
    <s v="."/>
    <s v="."/>
    <s v="."/>
    <s v="."/>
    <s v="."/>
    <s v="."/>
    <s v="."/>
    <x v="0"/>
    <x v="0"/>
    <x v="0"/>
  </r>
  <r>
    <s v="6265/2015-1"/>
    <x v="95"/>
    <x v="6"/>
    <d v="2015-11-23T00:00:00"/>
    <d v="1900-01-02T00:00:00"/>
    <n v="3"/>
    <d v="2015-11-26T00:00:00"/>
    <x v="38"/>
    <s v="."/>
    <n v="449"/>
    <n v="800"/>
    <n v="85"/>
    <s v="ok"/>
    <s v="ok"/>
    <s v="ok"/>
    <s v="Avery PVC clear AL170 213mm"/>
    <s v="rano poproszę"/>
    <m/>
    <s v="KC"/>
    <n v="1"/>
    <s v="Górski"/>
    <d v="2015-11-23T00:00:00"/>
    <m/>
    <x v="0"/>
    <s v="."/>
    <s v="."/>
    <s v="."/>
    <s v="."/>
    <s v="."/>
    <s v="."/>
    <s v="."/>
    <s v="."/>
    <x v="0"/>
    <x v="0"/>
    <x v="0"/>
  </r>
  <r>
    <s v="6233/2015-2"/>
    <x v="7"/>
    <x v="8"/>
    <d v="2015-11-24T00:00:00"/>
    <d v="1899-12-30T00:00:00"/>
    <n v="4"/>
    <d v="2015-11-24T00:00:00"/>
    <x v="0"/>
    <s v="."/>
    <n v="33"/>
    <s v="."/>
    <s v="."/>
    <s v="."/>
    <s v="."/>
    <s v="."/>
    <s v="."/>
    <s v="."/>
    <m/>
    <s v="MŁ"/>
    <n v="1"/>
    <s v="Kosma"/>
    <d v="2015-11-24T00:00:00"/>
    <d v="2015-11-27T00:00:00"/>
    <x v="0"/>
    <s v="."/>
    <s v="."/>
    <s v="."/>
    <s v="."/>
    <s v="."/>
    <s v="."/>
    <s v="."/>
    <s v="."/>
    <x v="0"/>
    <x v="0"/>
    <x v="0"/>
  </r>
  <r>
    <s v="6222/2015-3"/>
    <x v="12"/>
    <x v="3"/>
    <d v="2015-11-24T00:00:00"/>
    <d v="1899-12-30T00:00:00"/>
    <n v="1"/>
    <d v="2015-11-24T00:00:00"/>
    <x v="0"/>
    <s v="."/>
    <n v="68"/>
    <s v="."/>
    <s v="."/>
    <s v="."/>
    <s v="."/>
    <s v="."/>
    <s v="."/>
    <s v="."/>
    <m/>
    <s v="MŁ"/>
    <n v="0.08"/>
    <s v="Walaszczyk"/>
    <d v="2015-11-24T00:00:00"/>
    <d v="2015-11-26T00:00:00"/>
    <x v="0"/>
    <s v="."/>
    <s v="."/>
    <s v="."/>
    <s v="."/>
    <s v="."/>
    <s v="."/>
    <s v="."/>
    <s v="."/>
    <x v="0"/>
    <x v="0"/>
    <x v="0"/>
  </r>
  <r>
    <s v="A725/2015-2"/>
    <x v="96"/>
    <x v="13"/>
    <m/>
    <d v="2015-11-23T00:00:00"/>
    <n v="1"/>
    <d v="2015-11-23T00:00:00"/>
    <x v="43"/>
    <s v="8x110 38 kursów"/>
    <n v="2812"/>
    <s v="."/>
    <s v="."/>
    <s v="."/>
    <s v="."/>
    <s v="TTR101"/>
    <s v="."/>
    <s v="."/>
    <m/>
    <s v="IP"/>
    <n v="6"/>
    <s v="Kułak"/>
    <s v="2015-11-20/2015-11-23"/>
    <m/>
    <x v="0"/>
    <s v="."/>
    <s v="."/>
    <s v="."/>
    <s v="."/>
    <s v="."/>
    <s v="."/>
    <s v="."/>
    <s v="."/>
    <x v="0"/>
    <x v="0"/>
    <x v="0"/>
  </r>
  <r>
    <s v="6177/2015-1"/>
    <x v="49"/>
    <x v="12"/>
    <d v="2015-11-20T00:00:00"/>
    <d v="1900-01-02T00:00:00"/>
    <n v="1"/>
    <d v="2015-11-23T00:00:00"/>
    <x v="17"/>
    <s v="."/>
    <n v="38"/>
    <n v="150"/>
    <n v="72"/>
    <s v="."/>
    <s v="ok"/>
    <s v="ok"/>
    <s v="Avery PET transfer WH TOP S8001 185mm"/>
    <s v="."/>
    <m/>
    <s v="DG"/>
    <n v="1.33"/>
    <s v="Goclon"/>
    <d v="2015-11-20T00:00:00"/>
    <m/>
    <x v="0"/>
    <s v="."/>
    <s v="."/>
    <s v="."/>
    <s v="."/>
    <s v="."/>
    <s v="."/>
    <s v="."/>
    <s v="."/>
    <x v="0"/>
    <x v="0"/>
    <x v="0"/>
  </r>
  <r>
    <s v="6248/2015-3"/>
    <x v="57"/>
    <x v="18"/>
    <d v="2015-11-24T00:00:00"/>
    <d v="1900-01-01T00:00:00"/>
    <n v="1"/>
    <d v="2015-11-26T00:00:00"/>
    <x v="12"/>
    <s v="."/>
    <n v="238"/>
    <s v="."/>
    <s v="."/>
    <s v="."/>
    <s v="."/>
    <s v="."/>
    <s v="."/>
    <s v="."/>
    <m/>
    <s v="KC"/>
    <n v="1.5"/>
    <s v="Śliwińska A."/>
    <d v="2015-11-24T00:00:00"/>
    <d v="2015-11-30T00:00:00"/>
    <x v="0"/>
    <s v="."/>
    <s v="."/>
    <n v="700"/>
    <s v="."/>
    <s v="."/>
    <s v="."/>
    <s v="."/>
    <s v="."/>
    <x v="0"/>
    <x v="0"/>
    <x v="0"/>
  </r>
  <r>
    <s v="6198/2015-2"/>
    <x v="69"/>
    <x v="3"/>
    <d v="2015-11-23T00:00:00"/>
    <d v="1900-01-02T00:00:00"/>
    <n v="1"/>
    <d v="2015-11-26T00:00:00"/>
    <x v="12"/>
    <s v="."/>
    <n v="1981"/>
    <s v="."/>
    <s v="."/>
    <s v="."/>
    <s v="."/>
    <s v="."/>
    <s v="."/>
    <s v="."/>
    <m/>
    <s v="KC"/>
    <m/>
    <s v="."/>
    <d v="2015-11-23T00:00:00"/>
    <m/>
    <x v="0"/>
    <s v="."/>
    <s v="."/>
    <s v="."/>
    <s v="."/>
    <s v="."/>
    <s v="."/>
    <s v="."/>
    <s v="."/>
    <x v="0"/>
    <x v="0"/>
    <x v="0"/>
  </r>
  <r>
    <s v="6285/2015-2"/>
    <x v="97"/>
    <x v="6"/>
    <m/>
    <d v="2015-11-27T00:00:00"/>
    <n v="3"/>
    <d v="2015-11-27T00:00:00"/>
    <x v="14"/>
    <s v="."/>
    <n v="304"/>
    <s v="."/>
    <s v="."/>
    <s v="."/>
    <s v="."/>
    <s v="."/>
    <s v="."/>
    <s v="."/>
    <m/>
    <s v="IP"/>
    <n v="0.36"/>
    <s v="Górski"/>
    <d v="2015-11-25T00:00:00"/>
    <d v="2015-12-01T00:00:00"/>
    <x v="0"/>
    <s v="lakierowanie"/>
    <s v="."/>
    <s v="."/>
    <s v="."/>
    <s v="."/>
    <s v="."/>
    <s v="."/>
    <s v="."/>
    <x v="0"/>
    <x v="0"/>
    <x v="0"/>
  </r>
  <r>
    <s v="6233/2015-3"/>
    <x v="7"/>
    <x v="3"/>
    <d v="2015-11-24T00:00:00"/>
    <d v="1899-12-30T00:00:00"/>
    <n v="1"/>
    <d v="2015-11-24T00:00:00"/>
    <x v="0"/>
    <s v="."/>
    <n v="33"/>
    <s v="."/>
    <s v="."/>
    <s v="."/>
    <s v="."/>
    <s v="."/>
    <s v="."/>
    <s v="."/>
    <m/>
    <s v="MŁ"/>
    <n v="0.08"/>
    <s v="Walaszczyk"/>
    <d v="2015-11-24T00:00:00"/>
    <d v="2015-11-27T00:00:00"/>
    <x v="0"/>
    <s v="."/>
    <s v="."/>
    <s v="."/>
    <s v="."/>
    <s v="."/>
    <s v="."/>
    <s v="."/>
    <s v="."/>
    <x v="0"/>
    <x v="0"/>
    <x v="0"/>
  </r>
  <r>
    <s v="6204/2015-2"/>
    <x v="46"/>
    <x v="9"/>
    <d v="2015-11-23T00:00:00"/>
    <d v="1900-01-02T00:00:00"/>
    <n v="17"/>
    <d v="2015-11-26T00:00:00"/>
    <x v="25"/>
    <s v="."/>
    <n v="1488"/>
    <s v="."/>
    <s v="."/>
    <s v="."/>
    <s v="."/>
    <s v="."/>
    <s v="."/>
    <s v="."/>
    <m/>
    <s v="DG"/>
    <n v="1.75"/>
    <s v="Tkacz"/>
    <d v="2015-11-23T00:00:00"/>
    <m/>
    <x v="0"/>
    <s v="."/>
    <s v="."/>
    <s v="."/>
    <s v="."/>
    <s v="."/>
    <s v="."/>
    <s v="."/>
    <s v="."/>
    <x v="0"/>
    <x v="0"/>
    <x v="0"/>
  </r>
  <r>
    <s v="6204/2015-3"/>
    <x v="46"/>
    <x v="3"/>
    <d v="2015-11-23T00:00:00"/>
    <d v="1900-01-02T00:00:00"/>
    <n v="1"/>
    <d v="2015-11-26T00:00:00"/>
    <x v="25"/>
    <s v="."/>
    <n v="1488"/>
    <s v="."/>
    <s v="."/>
    <s v="."/>
    <s v="."/>
    <s v="."/>
    <s v="."/>
    <s v="."/>
    <m/>
    <s v="DG"/>
    <n v="0.25"/>
    <s v="Maciąg"/>
    <d v="2015-11-23T00:00:00"/>
    <m/>
    <x v="0"/>
    <s v="."/>
    <s v="."/>
    <s v="."/>
    <s v="."/>
    <s v="."/>
    <s v="."/>
    <s v="."/>
    <s v="."/>
    <x v="0"/>
    <x v="0"/>
    <x v="0"/>
  </r>
  <r>
    <s v="6207/2015-1"/>
    <x v="91"/>
    <x v="4"/>
    <d v="2015-11-18T00:00:00"/>
    <d v="1900-01-07T00:00:00"/>
    <n v="8"/>
    <d v="2015-11-26T00:00:00"/>
    <x v="4"/>
    <s v="."/>
    <n v="97"/>
    <n v="200"/>
    <n v="132"/>
    <s v="nowy"/>
    <s v="ok"/>
    <s v="ok"/>
    <s v="Raflatac Raflacoat RH9X 220mm"/>
    <s v="."/>
    <m/>
    <s v="IP"/>
    <n v="0.4"/>
    <s v="Placek"/>
    <d v="2015-11-23T00:00:00"/>
    <m/>
    <x v="0"/>
    <s v="."/>
    <s v="."/>
    <s v="."/>
    <s v="."/>
    <s v="."/>
    <s v="."/>
    <s v="."/>
    <s v="."/>
    <x v="0"/>
    <x v="0"/>
    <x v="0"/>
  </r>
  <r>
    <s v="6205/2015-2"/>
    <x v="80"/>
    <x v="9"/>
    <d v="2015-11-23T00:00:00"/>
    <d v="1900-01-02T00:00:00"/>
    <n v="18"/>
    <d v="2015-11-26T00:00:00"/>
    <x v="21"/>
    <s v="."/>
    <n v="2286"/>
    <s v="."/>
    <s v="."/>
    <s v="."/>
    <s v="."/>
    <s v="."/>
    <s v="."/>
    <s v="."/>
    <m/>
    <s v="IP"/>
    <n v="2"/>
    <s v="Tkacz"/>
    <d v="2015-11-23T00:00:00"/>
    <m/>
    <x v="0"/>
    <s v="."/>
    <s v="."/>
    <s v="."/>
    <s v="."/>
    <s v="."/>
    <s v="."/>
    <s v="."/>
    <s v="."/>
    <x v="0"/>
    <x v="0"/>
    <x v="0"/>
  </r>
  <r>
    <s v="6230/2015-3"/>
    <x v="98"/>
    <x v="3"/>
    <d v="2015-11-24T00:00:00"/>
    <d v="1900-01-02T00:00:00"/>
    <n v="1"/>
    <d v="2015-11-27T00:00:00"/>
    <x v="44"/>
    <s v="."/>
    <n v="952"/>
    <s v="."/>
    <s v="."/>
    <s v="."/>
    <s v="."/>
    <s v="."/>
    <s v="."/>
    <s v="."/>
    <m/>
    <s v="TB"/>
    <n v="0.17"/>
    <s v="Maciąg"/>
    <d v="2015-11-24T00:00:00"/>
    <m/>
    <x v="0"/>
    <s v="."/>
    <s v="."/>
    <s v="."/>
    <s v="."/>
    <s v="."/>
    <s v="."/>
    <s v="."/>
    <s v="."/>
    <x v="0"/>
    <x v="0"/>
    <x v="0"/>
  </r>
  <r>
    <s v="6228/2015-3"/>
    <x v="99"/>
    <x v="3"/>
    <m/>
    <d v="2015-11-27T00:00:00"/>
    <n v="1"/>
    <d v="2015-11-27T00:00:00"/>
    <x v="44"/>
    <s v="."/>
    <n v="80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0"/>
    <x v="0"/>
    <x v="0"/>
  </r>
  <r>
    <s v="6229/2015-3"/>
    <x v="100"/>
    <x v="3"/>
    <m/>
    <d v="2015-11-30T00:00:00"/>
    <n v="1"/>
    <d v="2015-11-30T00:00:00"/>
    <x v="44"/>
    <s v="."/>
    <n v="2381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0"/>
    <x v="0"/>
    <x v="0"/>
  </r>
  <r>
    <s v="6234/2015-3"/>
    <x v="36"/>
    <x v="3"/>
    <d v="2015-11-24T00:00:00"/>
    <d v="1899-12-31T00:00:00"/>
    <n v="1"/>
    <d v="2015-11-25T00:00:00"/>
    <x v="22"/>
    <s v="."/>
    <n v="50"/>
    <s v="."/>
    <s v="."/>
    <s v="."/>
    <s v="."/>
    <s v="."/>
    <s v="."/>
    <s v="."/>
    <m/>
    <s v="MŁ"/>
    <n v="0.08"/>
    <s v="Walaszczyk"/>
    <d v="2015-11-24T00:00:00"/>
    <m/>
    <x v="0"/>
    <s v="."/>
    <s v="."/>
    <s v="."/>
    <s v="."/>
    <s v="."/>
    <s v="."/>
    <s v="."/>
    <s v="."/>
    <x v="0"/>
    <x v="0"/>
    <x v="0"/>
  </r>
  <r>
    <s v="6232/2015-3"/>
    <x v="101"/>
    <x v="7"/>
    <d v="2015-11-24T00:00:00"/>
    <d v="1900-01-05T00:00:00"/>
    <n v="1"/>
    <d v="2015-11-30T00:00:00"/>
    <x v="14"/>
    <s v="."/>
    <n v="1063"/>
    <s v="."/>
    <s v="."/>
    <s v="."/>
    <s v="."/>
    <s v="."/>
    <s v="."/>
    <s v="."/>
    <m/>
    <s v="IP"/>
    <n v="0.33"/>
    <s v="Śliwińska O."/>
    <d v="2015-11-24T00:00:00"/>
    <m/>
    <x v="0"/>
    <s v="."/>
    <s v="."/>
    <s v="."/>
    <s v="."/>
    <s v="."/>
    <s v="."/>
    <s v="."/>
    <s v="."/>
    <x v="0"/>
    <x v="0"/>
    <x v="0"/>
  </r>
  <r>
    <s v="6219/2015-2"/>
    <x v="102"/>
    <x v="3"/>
    <m/>
    <d v="2015-11-27T00:00:00"/>
    <n v="1"/>
    <d v="2015-11-27T00:00:00"/>
    <x v="3"/>
    <s v="."/>
    <n v="11176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0"/>
    <x v="0"/>
    <x v="0"/>
  </r>
  <r>
    <s v="A729/2015-2"/>
    <x v="103"/>
    <x v="13"/>
    <m/>
    <d v="2015-11-23T00:00:00"/>
    <n v="2"/>
    <d v="2015-11-23T00:00:00"/>
    <x v="43"/>
    <s v="5x152 8 kursów"/>
    <n v="2400"/>
    <s v="."/>
    <s v="."/>
    <s v="."/>
    <s v="."/>
    <s v="TTR101"/>
    <s v="."/>
    <s v="."/>
    <m/>
    <s v="IP"/>
    <n v="2"/>
    <s v="Śliwińska A."/>
    <d v="2015-11-23T00:00:00"/>
    <m/>
    <x v="0"/>
    <s v="."/>
    <s v="."/>
    <s v="."/>
    <s v="."/>
    <s v="."/>
    <s v="."/>
    <s v="."/>
    <s v="."/>
    <x v="0"/>
    <x v="0"/>
    <x v="0"/>
  </r>
  <r>
    <s v="6227/2015-3"/>
    <x v="86"/>
    <x v="7"/>
    <d v="2015-11-24T00:00:00"/>
    <d v="1900-01-01T00:00:00"/>
    <n v="1"/>
    <d v="2015-11-26T00:00:00"/>
    <x v="11"/>
    <s v="."/>
    <n v="1219"/>
    <s v="."/>
    <s v="."/>
    <s v="."/>
    <s v="."/>
    <s v="."/>
    <s v="."/>
    <s v="."/>
    <m/>
    <s v="KC"/>
    <n v="0.5"/>
    <s v="Linert"/>
    <d v="2015-11-24T00:00:00"/>
    <m/>
    <x v="0"/>
    <s v="."/>
    <s v="."/>
    <s v="."/>
    <s v="."/>
    <s v="."/>
    <s v="."/>
    <s v="."/>
    <s v="."/>
    <x v="0"/>
    <x v="0"/>
    <x v="0"/>
  </r>
  <r>
    <s v="6227/2015-4"/>
    <x v="86"/>
    <x v="3"/>
    <d v="2015-11-24T00:00:00"/>
    <d v="1900-01-01T00:00:00"/>
    <n v="1"/>
    <d v="2015-11-26T00:00:00"/>
    <x v="11"/>
    <s v="."/>
    <n v="1219"/>
    <s v="."/>
    <s v="."/>
    <s v="."/>
    <s v="."/>
    <s v="."/>
    <s v="."/>
    <s v="."/>
    <m/>
    <s v="KC"/>
    <m/>
    <s v="."/>
    <d v="2015-11-24T00:00:00"/>
    <m/>
    <x v="0"/>
    <s v="."/>
    <s v="."/>
    <s v="."/>
    <s v="."/>
    <s v="."/>
    <s v="."/>
    <s v="."/>
    <s v="."/>
    <x v="0"/>
    <x v="0"/>
    <x v="0"/>
  </r>
  <r>
    <s v="6208/2015-1"/>
    <x v="90"/>
    <x v="4"/>
    <d v="2015-11-18T00:00:00"/>
    <d v="1900-01-07T00:00:00"/>
    <n v="7"/>
    <d v="2015-11-26T00:00:00"/>
    <x v="4"/>
    <s v="."/>
    <n v="155"/>
    <n v="300"/>
    <n v="132"/>
    <s v="nowy"/>
    <s v="ok"/>
    <s v="ok"/>
    <s v="Raflatac Raflacoat RH9X 220mm"/>
    <s v="."/>
    <m/>
    <s v="IP"/>
    <n v="0.4"/>
    <s v="Placek"/>
    <d v="2015-11-23T00:00:00"/>
    <m/>
    <x v="0"/>
    <s v="."/>
    <s v="."/>
    <s v="."/>
    <s v="."/>
    <s v="."/>
    <s v="."/>
    <s v="."/>
    <s v="."/>
    <x v="0"/>
    <x v="0"/>
    <x v="0"/>
  </r>
  <r>
    <s v="6210/2015-1"/>
    <x v="23"/>
    <x v="4"/>
    <d v="2015-11-18T00:00:00"/>
    <d v="1900-01-07T00:00:00"/>
    <n v="2"/>
    <d v="2015-11-26T00:00:00"/>
    <x v="4"/>
    <s v="."/>
    <n v="256"/>
    <n v="400"/>
    <n v="132"/>
    <s v="nowy"/>
    <s v="ok"/>
    <s v="ok"/>
    <s v="Raflatac Raflacoat RH9X 220mm"/>
    <s v="."/>
    <m/>
    <s v="IP"/>
    <n v="0.4"/>
    <s v="Placek"/>
    <d v="2015-11-23T00:00:00"/>
    <m/>
    <x v="0"/>
    <s v="."/>
    <s v="."/>
    <s v="."/>
    <s v="."/>
    <s v="."/>
    <s v="."/>
    <s v="."/>
    <s v="."/>
    <x v="0"/>
    <x v="0"/>
    <x v="0"/>
  </r>
  <r>
    <s v="6246/2015-3"/>
    <x v="104"/>
    <x v="7"/>
    <m/>
    <d v="2015-12-02T00:00:00"/>
    <n v="1"/>
    <d v="2015-12-02T00:00:00"/>
    <x v="45"/>
    <s v="."/>
    <n v="46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46/2015-4"/>
    <x v="104"/>
    <x v="3"/>
    <m/>
    <d v="2015-12-02T00:00:00"/>
    <n v="1"/>
    <d v="2015-12-02T00:00:00"/>
    <x v="45"/>
    <s v="."/>
    <n v="46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45/2015-3"/>
    <x v="105"/>
    <x v="7"/>
    <m/>
    <d v="2015-12-02T00:00:00"/>
    <n v="1"/>
    <d v="2015-12-02T00:00:00"/>
    <x v="45"/>
    <s v="."/>
    <n v="92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45/2015-4"/>
    <x v="105"/>
    <x v="3"/>
    <m/>
    <d v="2015-12-02T00:00:00"/>
    <n v="1"/>
    <d v="2015-12-02T00:00:00"/>
    <x v="45"/>
    <s v="."/>
    <n v="92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44/2015-3"/>
    <x v="106"/>
    <x v="7"/>
    <m/>
    <d v="2015-12-02T00:00:00"/>
    <n v="1"/>
    <d v="2015-12-02T00:00:00"/>
    <x v="45"/>
    <s v="."/>
    <n v="46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44/2015-4"/>
    <x v="106"/>
    <x v="3"/>
    <m/>
    <d v="2015-12-02T00:00:00"/>
    <n v="1"/>
    <d v="2015-12-02T00:00:00"/>
    <x v="45"/>
    <s v="."/>
    <n v="46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49/2015-2"/>
    <x v="107"/>
    <x v="18"/>
    <m/>
    <d v="2015-11-30T00:00:00"/>
    <n v="1"/>
    <d v="2015-11-30T00:00:00"/>
    <x v="42"/>
    <s v="."/>
    <n v="1828"/>
    <s v="."/>
    <s v="."/>
    <s v="."/>
    <s v="."/>
    <s v="."/>
    <s v="."/>
    <s v="."/>
    <m/>
    <s v="IP"/>
    <n v="1.5"/>
    <s v="Śliwińska A."/>
    <d v="2015-11-24T00:00:00"/>
    <m/>
    <x v="0"/>
    <s v="."/>
    <s v="."/>
    <s v="."/>
    <s v="."/>
    <s v="."/>
    <s v="."/>
    <s v="."/>
    <s v="."/>
    <x v="0"/>
    <x v="0"/>
    <x v="0"/>
  </r>
  <r>
    <s v="6249/2015-3"/>
    <x v="107"/>
    <x v="3"/>
    <m/>
    <d v="2015-11-30T00:00:00"/>
    <n v="1"/>
    <d v="2015-11-30T00:00:00"/>
    <x v="42"/>
    <s v="."/>
    <n v="1828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32/2015-4"/>
    <x v="101"/>
    <x v="3"/>
    <d v="2015-11-24T00:00:00"/>
    <d v="1900-01-05T00:00:00"/>
    <n v="1"/>
    <d v="2015-11-30T00:00:00"/>
    <x v="14"/>
    <s v="."/>
    <n v="1063"/>
    <s v="."/>
    <s v="."/>
    <s v="."/>
    <s v="."/>
    <s v="."/>
    <s v="."/>
    <s v="."/>
    <m/>
    <s v="IP"/>
    <n v="0.33"/>
    <s v="Śliwińska O."/>
    <d v="2015-11-24T00:00:00"/>
    <m/>
    <x v="0"/>
    <s v="."/>
    <s v="."/>
    <s v="."/>
    <s v="."/>
    <s v="."/>
    <s v="."/>
    <s v="."/>
    <s v="."/>
    <x v="0"/>
    <x v="0"/>
    <x v="0"/>
  </r>
  <r>
    <s v="6248/2015-4"/>
    <x v="57"/>
    <x v="7"/>
    <d v="2015-11-24T00:00:00"/>
    <d v="1900-01-01T00:00:00"/>
    <n v="1"/>
    <d v="2015-11-26T00:00:00"/>
    <x v="12"/>
    <s v="."/>
    <n v="238"/>
    <s v="."/>
    <s v="."/>
    <s v="."/>
    <s v="."/>
    <s v="."/>
    <s v="."/>
    <s v="."/>
    <m/>
    <s v="KC"/>
    <n v="0.5"/>
    <s v="Linert"/>
    <d v="2015-11-24T00:00:00"/>
    <d v="2015-11-30T00:00:00"/>
    <x v="0"/>
    <s v="."/>
    <s v="."/>
    <s v="."/>
    <s v="."/>
    <s v="."/>
    <s v="."/>
    <s v="."/>
    <s v="."/>
    <x v="0"/>
    <x v="0"/>
    <x v="0"/>
  </r>
  <r>
    <s v="6248/2015-5"/>
    <x v="57"/>
    <x v="3"/>
    <d v="2015-11-24T00:00:00"/>
    <d v="1900-01-01T00:00:00"/>
    <n v="1"/>
    <d v="2015-11-26T00:00:00"/>
    <x v="12"/>
    <s v="."/>
    <n v="238"/>
    <s v="."/>
    <s v="."/>
    <s v="."/>
    <s v="."/>
    <s v="."/>
    <s v="."/>
    <s v="."/>
    <m/>
    <s v="KC"/>
    <m/>
    <s v="."/>
    <d v="2015-11-24T00:00:00"/>
    <d v="2015-11-30T00:00:00"/>
    <x v="0"/>
    <s v="."/>
    <s v="."/>
    <s v="."/>
    <s v="."/>
    <s v="."/>
    <s v="."/>
    <s v="."/>
    <s v="."/>
    <x v="0"/>
    <x v="0"/>
    <x v="0"/>
  </r>
  <r>
    <s v="6242/2015-3"/>
    <x v="35"/>
    <x v="3"/>
    <m/>
    <d v="2015-11-30T00:00:00"/>
    <n v="1"/>
    <d v="2015-11-30T00:00:00"/>
    <x v="21"/>
    <s v="."/>
    <n v="112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39/2015-5"/>
    <x v="108"/>
    <x v="3"/>
    <m/>
    <d v="2015-11-30T00:00:00"/>
    <n v="1"/>
    <d v="2015-11-30T00:00:00"/>
    <x v="20"/>
    <s v="."/>
    <n v="106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40/2015-6"/>
    <x v="109"/>
    <x v="3"/>
    <m/>
    <d v="2015-11-30T00:00:00"/>
    <n v="1"/>
    <d v="2015-11-30T00:00:00"/>
    <x v="20"/>
    <s v="."/>
    <n v="340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B31/2015-2"/>
    <x v="110"/>
    <x v="3"/>
    <m/>
    <d v="2015-11-26T00:00:00"/>
    <n v="1"/>
    <d v="2015-11-26T00:00:00"/>
    <x v="46"/>
    <s v="80x63, 60x40, 74x74, 65x87, 50x40"/>
    <s v="32000szt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51/2015-2"/>
    <x v="73"/>
    <x v="3"/>
    <d v="2015-11-24T00:00:00"/>
    <d v="1900-01-01T00:00:00"/>
    <n v="1"/>
    <d v="2015-11-26T00:00:00"/>
    <x v="37"/>
    <s v="."/>
    <n v="5503"/>
    <s v="."/>
    <s v="."/>
    <s v="."/>
    <s v="."/>
    <s v="."/>
    <s v="."/>
    <s v="."/>
    <m/>
    <s v="TB"/>
    <n v="1.17"/>
    <s v="Walaszczyk"/>
    <d v="2015-11-24T00:00:00"/>
    <m/>
    <x v="0"/>
    <s v="."/>
    <s v="."/>
    <s v="."/>
    <s v="."/>
    <s v="."/>
    <s v="."/>
    <s v="."/>
    <s v="."/>
    <x v="0"/>
    <x v="0"/>
    <x v="0"/>
  </r>
  <r>
    <s v="6261/2015-3"/>
    <x v="111"/>
    <x v="3"/>
    <d v="2015-11-24T00:00:00"/>
    <d v="1900-01-05T00:00:00"/>
    <n v="1"/>
    <d v="2015-11-30T00:00:00"/>
    <x v="18"/>
    <s v="."/>
    <n v="30"/>
    <s v="."/>
    <s v="."/>
    <s v="."/>
    <s v="."/>
    <s v="."/>
    <s v="."/>
    <s v="."/>
    <m/>
    <s v="KC"/>
    <n v="0.08"/>
    <s v="Maciąg"/>
    <d v="2015-11-24T00:00:00"/>
    <m/>
    <x v="0"/>
    <s v="."/>
    <s v="."/>
    <s v="."/>
    <s v="."/>
    <s v="."/>
    <s v="."/>
    <s v="."/>
    <s v="."/>
    <x v="0"/>
    <x v="0"/>
    <x v="0"/>
  </r>
  <r>
    <s v="A713/2015-2"/>
    <x v="112"/>
    <x v="13"/>
    <m/>
    <d v="2015-11-23T00:00:00"/>
    <n v="1"/>
    <d v="2015-11-23T00:00:00"/>
    <x v="8"/>
    <s v="6x134 3 kursy"/>
    <n v="1800"/>
    <s v="."/>
    <s v="."/>
    <s v="."/>
    <s v="."/>
    <s v="TTR112"/>
    <s v="."/>
    <s v="."/>
    <m/>
    <s v="KC"/>
    <n v="1.17"/>
    <s v="Kułak"/>
    <d v="2015-11-20T00:00:00"/>
    <m/>
    <x v="0"/>
    <s v="."/>
    <s v="."/>
    <s v="."/>
    <s v="."/>
    <s v="."/>
    <s v="."/>
    <s v="."/>
    <s v="."/>
    <x v="0"/>
    <x v="0"/>
    <x v="0"/>
  </r>
  <r>
    <s v="A721/2015-2"/>
    <x v="113"/>
    <x v="13"/>
    <m/>
    <d v="2015-11-24T00:00:00"/>
    <n v="3"/>
    <d v="2015-11-24T00:00:00"/>
    <x v="21"/>
    <s v="8x110 2 kursy"/>
    <n v="600"/>
    <s v="."/>
    <s v="."/>
    <s v="."/>
    <s v="."/>
    <s v="TTR101"/>
    <s v="."/>
    <s v="."/>
    <m/>
    <s v="IP"/>
    <n v="1.5"/>
    <s v="Śliwińska A."/>
    <d v="2015-11-23T00:00:00"/>
    <m/>
    <x v="0"/>
    <s v="."/>
    <s v="."/>
    <s v="."/>
    <s v="."/>
    <s v="."/>
    <s v="."/>
    <s v="."/>
    <s v="."/>
    <x v="0"/>
    <x v="0"/>
    <x v="0"/>
  </r>
  <r>
    <s v="6259/2015-3"/>
    <x v="114"/>
    <x v="3"/>
    <d v="2015-11-24T00:00:00"/>
    <d v="1900-01-05T00:00:00"/>
    <n v="1"/>
    <d v="2015-11-30T00:00:00"/>
    <x v="18"/>
    <s v="."/>
    <n v="30"/>
    <s v="."/>
    <s v="."/>
    <s v="."/>
    <s v="."/>
    <s v="."/>
    <s v="."/>
    <s v="."/>
    <m/>
    <s v="KC"/>
    <n v="0.08"/>
    <s v="Maciąg"/>
    <d v="2015-11-24T00:00:00"/>
    <m/>
    <x v="0"/>
    <s v="."/>
    <s v="."/>
    <s v="."/>
    <s v="."/>
    <s v="."/>
    <s v="."/>
    <s v="."/>
    <s v="."/>
    <x v="0"/>
    <x v="0"/>
    <x v="0"/>
  </r>
  <r>
    <s v="6210/2015-4"/>
    <x v="23"/>
    <x v="3"/>
    <d v="2015-11-23T00:00:00"/>
    <d v="1900-01-02T00:00:00"/>
    <n v="1"/>
    <d v="2015-11-26T00:00:00"/>
    <x v="4"/>
    <s v="."/>
    <n v="256"/>
    <s v="."/>
    <s v="."/>
    <s v="."/>
    <s v="."/>
    <s v="."/>
    <s v="."/>
    <s v="."/>
    <m/>
    <s v="IP"/>
    <n v="0.17"/>
    <s v="Maciąg"/>
    <d v="2015-11-23T00:00:00"/>
    <m/>
    <x v="0"/>
    <s v="."/>
    <s v="."/>
    <s v="."/>
    <s v="."/>
    <s v="."/>
    <s v="."/>
    <s v="."/>
    <s v="."/>
    <x v="0"/>
    <x v="0"/>
    <x v="0"/>
  </r>
  <r>
    <s v="6241/2015-5"/>
    <x v="115"/>
    <x v="3"/>
    <m/>
    <d v="2015-12-01T00:00:00"/>
    <n v="1"/>
    <d v="2015-12-01T00:00:00"/>
    <x v="20"/>
    <s v="."/>
    <n v="627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209/2015-4"/>
    <x v="4"/>
    <x v="3"/>
    <d v="2015-11-23T00:00:00"/>
    <d v="1900-01-02T00:00:00"/>
    <n v="1"/>
    <d v="2015-11-26T00:00:00"/>
    <x v="4"/>
    <s v="."/>
    <n v="169"/>
    <s v="."/>
    <s v="."/>
    <s v="."/>
    <s v="."/>
    <s v="."/>
    <s v="."/>
    <s v="."/>
    <m/>
    <s v="IP"/>
    <n v="0.17"/>
    <s v="Maciąg"/>
    <d v="2015-11-23T00:00:00"/>
    <m/>
    <x v="0"/>
    <s v="."/>
    <s v="."/>
    <s v="."/>
    <s v="."/>
    <s v="."/>
    <s v="."/>
    <s v="."/>
    <s v="."/>
    <x v="0"/>
    <x v="0"/>
    <x v="0"/>
  </r>
  <r>
    <s v="A725/2015-1"/>
    <x v="96"/>
    <x v="17"/>
    <m/>
    <d v="2015-11-23T00:00:00"/>
    <n v="1"/>
    <d v="2015-11-23T00:00:00"/>
    <x v="43"/>
    <s v="8x110 38 kursów"/>
    <n v="2812"/>
    <s v="."/>
    <s v="."/>
    <s v="."/>
    <s v="."/>
    <s v="TTR101"/>
    <s v="."/>
    <s v="."/>
    <m/>
    <s v="IP"/>
    <n v="18"/>
    <s v="Pikul"/>
    <s v="2015-11-19/2015-11-23"/>
    <m/>
    <x v="0"/>
    <s v="."/>
    <s v="."/>
    <n v="745"/>
    <s v="."/>
    <s v="."/>
    <s v="."/>
    <s v="."/>
    <s v="."/>
    <x v="0"/>
    <x v="0"/>
    <x v="0"/>
  </r>
  <r>
    <s v="6243/2015-2"/>
    <x v="72"/>
    <x v="3"/>
    <d v="2015-11-24T00:00:00"/>
    <d v="1899-12-30T00:00:00"/>
    <n v="1"/>
    <d v="2015-11-24T00:00:00"/>
    <x v="3"/>
    <s v="."/>
    <n v="531"/>
    <s v="."/>
    <s v="."/>
    <s v="."/>
    <s v="."/>
    <s v="."/>
    <s v="."/>
    <s v="."/>
    <m/>
    <s v="MŁ"/>
    <m/>
    <s v="."/>
    <d v="2015-11-24T00:00:00"/>
    <d v="2015-11-26T00:00:00"/>
    <x v="0"/>
    <s v="."/>
    <s v="."/>
    <s v="."/>
    <s v="."/>
    <s v="."/>
    <s v="."/>
    <s v="."/>
    <s v="."/>
    <x v="0"/>
    <x v="0"/>
    <x v="0"/>
  </r>
  <r>
    <s v="6252/2015-4"/>
    <x v="116"/>
    <x v="3"/>
    <m/>
    <d v="2015-11-30T00:00:00"/>
    <n v="1"/>
    <d v="2015-11-30T00:00:00"/>
    <x v="47"/>
    <s v="."/>
    <n v="381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A729/2015-1"/>
    <x v="103"/>
    <x v="17"/>
    <m/>
    <d v="2015-11-23T00:00:00"/>
    <n v="2"/>
    <d v="2015-11-23T00:00:00"/>
    <x v="43"/>
    <s v="5x152 8 kursów"/>
    <n v="2400"/>
    <s v="."/>
    <s v="."/>
    <s v="."/>
    <s v="."/>
    <s v="TTR101"/>
    <s v="."/>
    <s v="."/>
    <m/>
    <s v="IP"/>
    <n v="4"/>
    <s v="Krukar"/>
    <d v="2015-11-23T00:00:00"/>
    <m/>
    <x v="0"/>
    <s v="."/>
    <s v="."/>
    <s v="."/>
    <s v="."/>
    <s v="."/>
    <s v="."/>
    <s v="."/>
    <s v="."/>
    <x v="0"/>
    <x v="0"/>
    <x v="0"/>
  </r>
  <r>
    <s v="6211/2015-1"/>
    <x v="89"/>
    <x v="4"/>
    <d v="2015-11-18T00:00:00"/>
    <d v="1900-01-07T00:00:00"/>
    <n v="6"/>
    <d v="2015-11-26T00:00:00"/>
    <x v="4"/>
    <s v="."/>
    <n v="113"/>
    <n v="200"/>
    <n v="132"/>
    <s v="nowy"/>
    <s v="ok"/>
    <s v="ok"/>
    <s v="Raflatac Raflacoat RH9X 220mm"/>
    <s v="."/>
    <m/>
    <s v="IP"/>
    <n v="0.4"/>
    <s v="Placek"/>
    <d v="2015-11-23T00:00:00"/>
    <m/>
    <x v="0"/>
    <s v="."/>
    <s v="."/>
    <s v="."/>
    <s v="."/>
    <s v="."/>
    <s v="."/>
    <s v="."/>
    <s v="."/>
    <x v="0"/>
    <x v="0"/>
    <x v="0"/>
  </r>
  <r>
    <s v="A722/2015-2"/>
    <x v="117"/>
    <x v="13"/>
    <m/>
    <d v="2015-11-24T00:00:00"/>
    <n v="5"/>
    <d v="2015-11-24T00:00:00"/>
    <x v="48"/>
    <s v="11x80 4 kursy"/>
    <n v="1800"/>
    <s v="."/>
    <s v="."/>
    <s v="."/>
    <s v="."/>
    <s v="TTR131"/>
    <s v="."/>
    <s v="."/>
    <m/>
    <s v="DG"/>
    <n v="1"/>
    <s v="Śliwińska A."/>
    <d v="2015-11-23T00:00:00"/>
    <m/>
    <x v="0"/>
    <s v="."/>
    <s v="."/>
    <s v="."/>
    <s v="."/>
    <s v="."/>
    <s v="."/>
    <s v="."/>
    <s v="."/>
    <x v="0"/>
    <x v="0"/>
    <x v="0"/>
  </r>
  <r>
    <s v="6212/2015-1"/>
    <x v="87"/>
    <x v="4"/>
    <d v="2015-11-18T00:00:00"/>
    <d v="1900-01-07T00:00:00"/>
    <n v="5"/>
    <d v="2015-11-26T00:00:00"/>
    <x v="4"/>
    <s v="."/>
    <n v="161"/>
    <n v="300"/>
    <n v="132"/>
    <s v="nowy"/>
    <s v="ok"/>
    <s v="ok"/>
    <s v="Raflatac Raflacoat RH9X 220mm"/>
    <s v="."/>
    <m/>
    <s v="IP"/>
    <n v="0.4"/>
    <s v="Placek"/>
    <d v="2015-11-23T00:00:00"/>
    <m/>
    <x v="0"/>
    <s v="."/>
    <s v="."/>
    <s v="."/>
    <s v="."/>
    <s v="."/>
    <s v="."/>
    <s v="."/>
    <s v="."/>
    <x v="0"/>
    <x v="0"/>
    <x v="0"/>
  </r>
  <r>
    <s v="6282/2015-4"/>
    <x v="17"/>
    <x v="7"/>
    <m/>
    <d v="2015-12-04T00:00:00"/>
    <n v="1"/>
    <d v="2015-12-04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częściowo"/>
    <s v="."/>
    <s v="."/>
    <s v="."/>
    <s v="."/>
    <s v="."/>
    <s v="."/>
    <s v="."/>
    <x v="1"/>
    <x v="0"/>
    <x v="0"/>
  </r>
  <r>
    <s v="6213/2015-1"/>
    <x v="85"/>
    <x v="4"/>
    <d v="2015-11-18T00:00:00"/>
    <d v="1900-01-07T00:00:00"/>
    <n v="4"/>
    <d v="2015-11-26T00:00:00"/>
    <x v="4"/>
    <s v="."/>
    <n v="73"/>
    <n v="200"/>
    <n v="132"/>
    <s v="nowy"/>
    <s v="ok"/>
    <s v="ok"/>
    <s v="Raflatac Raflacoat RH9X 220mm"/>
    <s v="."/>
    <m/>
    <s v="IP"/>
    <n v="0.4"/>
    <s v="Placek"/>
    <d v="2015-11-23T00:00:00"/>
    <m/>
    <x v="0"/>
    <s v="."/>
    <s v="."/>
    <s v="."/>
    <s v="."/>
    <s v="."/>
    <s v="."/>
    <s v="."/>
    <s v="."/>
    <x v="0"/>
    <x v="0"/>
    <x v="0"/>
  </r>
  <r>
    <s v="A724/2015-1"/>
    <x v="118"/>
    <x v="17"/>
    <m/>
    <d v="2015-11-24T00:00:00"/>
    <n v="3"/>
    <d v="2015-11-24T00:00:00"/>
    <x v="3"/>
    <s v="10x85 10 kursów"/>
    <n v="4500"/>
    <s v="."/>
    <s v="."/>
    <s v="."/>
    <s v="."/>
    <s v="TTR101"/>
    <s v="."/>
    <s v="."/>
    <m/>
    <s v="MŁ"/>
    <n v="5.5"/>
    <s v="Krukar/Pikul"/>
    <d v="2015-11-23T00:00:00"/>
    <m/>
    <x v="0"/>
    <s v="."/>
    <s v="."/>
    <s v="."/>
    <s v="."/>
    <s v="."/>
    <s v="."/>
    <s v="."/>
    <s v="."/>
    <x v="0"/>
    <x v="0"/>
    <x v="0"/>
  </r>
  <r>
    <s v="B33/2015-2"/>
    <x v="119"/>
    <x v="3"/>
    <m/>
    <d v="2015-11-26T00:00:00"/>
    <n v="1"/>
    <d v="2015-11-26T00:00:00"/>
    <x v="49"/>
    <s v="."/>
    <s v="11300szt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0"/>
    <x v="0"/>
    <x v="0"/>
  </r>
  <r>
    <s v="6181/2015-4"/>
    <x v="2"/>
    <x v="3"/>
    <d v="2015-11-20T00:00:00"/>
    <d v="1899-12-30T00:00:00"/>
    <n v="1"/>
    <d v="2015-11-20T00:00:00"/>
    <x v="2"/>
    <s v="."/>
    <n v="870"/>
    <s v="."/>
    <s v="."/>
    <s v="."/>
    <s v="."/>
    <s v="."/>
    <s v="."/>
    <s v="."/>
    <m/>
    <s v="IP"/>
    <n v="0.17"/>
    <s v="Linert"/>
    <d v="2015-11-20T00:00:00"/>
    <d v="2015-11-23T00:00:00"/>
    <x v="0"/>
    <s v="."/>
    <s v="."/>
    <s v="."/>
    <s v="."/>
    <s v="."/>
    <s v="."/>
    <s v="."/>
    <s v="."/>
    <x v="0"/>
    <x v="0"/>
    <x v="0"/>
  </r>
  <r>
    <s v="6271/2015-4"/>
    <x v="120"/>
    <x v="3"/>
    <m/>
    <d v="2015-12-02T00:00:00"/>
    <n v="1"/>
    <d v="2015-12-02T00:00:00"/>
    <x v="50"/>
    <s v="."/>
    <n v="202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70/2015-3"/>
    <x v="121"/>
    <x v="3"/>
    <m/>
    <d v="2015-12-02T00:00:00"/>
    <n v="1"/>
    <d v="2015-12-02T00:00:00"/>
    <x v="50"/>
    <s v="."/>
    <n v="12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67/2015-2"/>
    <x v="122"/>
    <x v="3"/>
    <m/>
    <d v="2015-12-02T00:00:00"/>
    <n v="1"/>
    <d v="2015-12-02T00:00:00"/>
    <x v="50"/>
    <s v="."/>
    <n v="157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69/2015-2"/>
    <x v="123"/>
    <x v="3"/>
    <m/>
    <d v="2015-12-02T00:00:00"/>
    <n v="1"/>
    <d v="2015-12-02T00:00:00"/>
    <x v="50"/>
    <s v="."/>
    <n v="894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14/2015-1"/>
    <x v="84"/>
    <x v="4"/>
    <d v="2015-11-18T00:00:00"/>
    <d v="1900-01-07T00:00:00"/>
    <n v="3"/>
    <d v="2015-11-26T00:00:00"/>
    <x v="4"/>
    <s v="."/>
    <n v="108"/>
    <n v="200"/>
    <n v="132"/>
    <s v="nowy"/>
    <s v="ok"/>
    <s v="ok"/>
    <s v="Raflatac Raflacoat RH9X 220mm"/>
    <s v="."/>
    <m/>
    <s v="IP"/>
    <n v="0.4"/>
    <s v="Placek"/>
    <d v="2015-11-23T00:00:00"/>
    <m/>
    <x v="0"/>
    <s v="."/>
    <s v="."/>
    <s v="."/>
    <s v="."/>
    <s v="."/>
    <s v="."/>
    <s v="."/>
    <s v="."/>
    <x v="0"/>
    <x v="0"/>
    <x v="0"/>
  </r>
  <r>
    <s v="A724/2015-2"/>
    <x v="118"/>
    <x v="13"/>
    <d v="2015-11-24T00:00:00"/>
    <d v="1899-12-30T00:00:00"/>
    <n v="1"/>
    <d v="2015-11-24T00:00:00"/>
    <x v="3"/>
    <s v="10x85 10 kursów"/>
    <n v="4500"/>
    <s v="."/>
    <s v="."/>
    <s v="."/>
    <s v="."/>
    <s v="TTR101"/>
    <s v="."/>
    <s v="."/>
    <m/>
    <s v="MŁ"/>
    <n v="4"/>
    <s v="Kułak"/>
    <d v="2015-11-24T00:00:00"/>
    <m/>
    <x v="0"/>
    <s v="."/>
    <s v="."/>
    <s v="."/>
    <s v="."/>
    <s v="."/>
    <s v="."/>
    <s v="."/>
    <s v="."/>
    <x v="0"/>
    <x v="0"/>
    <x v="0"/>
  </r>
  <r>
    <s v="6222/2015-2"/>
    <x v="12"/>
    <x v="8"/>
    <d v="2015-11-24T00:00:00"/>
    <d v="1899-12-30T00:00:00"/>
    <n v="5"/>
    <d v="2015-11-24T00:00:00"/>
    <x v="0"/>
    <s v="."/>
    <n v="68"/>
    <s v="."/>
    <s v="."/>
    <s v="."/>
    <s v="."/>
    <s v="."/>
    <s v="."/>
    <s v="."/>
    <m/>
    <s v="MŁ"/>
    <n v="1"/>
    <s v="Kosma"/>
    <d v="2015-11-24T00:00:00"/>
    <d v="2015-11-26T00:00:00"/>
    <x v="0"/>
    <s v="."/>
    <s v="."/>
    <s v="."/>
    <s v="."/>
    <s v="."/>
    <s v="."/>
    <s v="."/>
    <s v="."/>
    <x v="0"/>
    <x v="0"/>
    <x v="0"/>
  </r>
  <r>
    <s v="A720/2015-2"/>
    <x v="124"/>
    <x v="13"/>
    <m/>
    <d v="2015-11-26T00:00:00"/>
    <n v="8"/>
    <d v="2015-11-26T00:00:00"/>
    <x v="12"/>
    <s v="18x50 1 kurs"/>
    <n v="450"/>
    <s v="."/>
    <s v="."/>
    <s v="."/>
    <s v="."/>
    <s v="TTR131"/>
    <s v="."/>
    <s v="."/>
    <m/>
    <s v="KC"/>
    <n v="1"/>
    <s v="Kułak"/>
    <d v="2015-11-23T00:00:00"/>
    <m/>
    <x v="0"/>
    <s v="."/>
    <s v="."/>
    <s v="."/>
    <s v="."/>
    <s v="."/>
    <s v="."/>
    <s v="."/>
    <s v="."/>
    <x v="0"/>
    <x v="0"/>
    <x v="0"/>
  </r>
  <r>
    <s v="6265/2015-3"/>
    <x v="95"/>
    <x v="3"/>
    <d v="2015-11-24T00:00:00"/>
    <d v="1900-01-01T00:00:00"/>
    <n v="1"/>
    <d v="2015-11-26T00:00:00"/>
    <x v="38"/>
    <s v="."/>
    <n v="449"/>
    <s v="."/>
    <s v="."/>
    <s v="."/>
    <s v="."/>
    <s v="."/>
    <s v="."/>
    <s v="."/>
    <m/>
    <s v="KC"/>
    <n v="0.17"/>
    <s v="Maciąg"/>
    <d v="2015-11-24T00:00:00"/>
    <m/>
    <x v="0"/>
    <s v="."/>
    <s v="."/>
    <s v="."/>
    <s v="."/>
    <s v="."/>
    <s v="."/>
    <s v="."/>
    <s v="."/>
    <x v="0"/>
    <x v="0"/>
    <x v="0"/>
  </r>
  <r>
    <s v="6294/2015-1"/>
    <x v="125"/>
    <x v="8"/>
    <d v="2015-11-24T00:00:00"/>
    <d v="1900-01-02T00:00:00"/>
    <n v="1"/>
    <d v="2015-11-27T00:00:00"/>
    <x v="1"/>
    <s v="."/>
    <n v="785"/>
    <n v="1000"/>
    <n v="120"/>
    <s v="."/>
    <s v="ok"/>
    <s v="ok"/>
    <s v="Raflatac PET matt silv 50 RP37 200mm"/>
    <s v="24.11"/>
    <m/>
    <s v="TB"/>
    <n v="2.66"/>
    <s v="Kosma"/>
    <d v="2015-11-24T00:00:00"/>
    <m/>
    <x v="0"/>
    <s v="."/>
    <s v="."/>
    <n v="800"/>
    <s v="."/>
    <s v="."/>
    <s v="."/>
    <s v="."/>
    <s v="."/>
    <x v="0"/>
    <x v="0"/>
    <x v="0"/>
  </r>
  <r>
    <s v="6226/2015-2"/>
    <x v="55"/>
    <x v="10"/>
    <d v="2015-11-23T00:00:00"/>
    <d v="1900-01-01T00:00:00"/>
    <n v="2"/>
    <d v="2015-11-25T00:00:00"/>
    <x v="29"/>
    <s v="."/>
    <n v="2438"/>
    <s v="."/>
    <s v="."/>
    <s v="."/>
    <s v="."/>
    <s v="."/>
    <s v="."/>
    <s v="."/>
    <m/>
    <s v="MŁ"/>
    <n v="2.5"/>
    <s v="Śliwińska O."/>
    <d v="2015-11-23T00:00:00"/>
    <m/>
    <x v="0"/>
    <s v="."/>
    <s v="."/>
    <s v="."/>
    <s v="."/>
    <s v="."/>
    <s v="."/>
    <s v="."/>
    <s v="."/>
    <x v="0"/>
    <x v="0"/>
    <x v="0"/>
  </r>
  <r>
    <s v="6226/2015-3"/>
    <x v="55"/>
    <x v="3"/>
    <d v="2015-11-23T00:00:00"/>
    <d v="1900-01-01T00:00:00"/>
    <n v="1"/>
    <d v="2015-11-25T00:00:00"/>
    <x v="29"/>
    <s v="."/>
    <n v="2438"/>
    <s v="."/>
    <s v="."/>
    <s v="."/>
    <s v="."/>
    <s v="."/>
    <s v="."/>
    <s v="."/>
    <m/>
    <s v="MŁ"/>
    <n v="0.33"/>
    <s v="Śliwińska O."/>
    <d v="2015-11-23T00:00:00"/>
    <m/>
    <x v="0"/>
    <s v="."/>
    <s v="."/>
    <s v="."/>
    <s v="."/>
    <s v="."/>
    <s v="."/>
    <s v="."/>
    <s v="."/>
    <x v="0"/>
    <x v="0"/>
    <x v="0"/>
  </r>
  <r>
    <s v="6273/2015-3"/>
    <x v="126"/>
    <x v="3"/>
    <m/>
    <d v="2015-12-01T00:00:00"/>
    <n v="1"/>
    <d v="2015-12-01T00:00:00"/>
    <x v="51"/>
    <s v="."/>
    <n v="228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272/2015-2"/>
    <x v="127"/>
    <x v="3"/>
    <d v="2015-11-24T00:00:00"/>
    <d v="1900-01-02T00:00:00"/>
    <n v="1"/>
    <d v="2015-11-27T00:00:00"/>
    <x v="52"/>
    <s v="."/>
    <n v="339"/>
    <s v="."/>
    <s v="."/>
    <s v="."/>
    <s v="."/>
    <s v="."/>
    <s v="."/>
    <s v="."/>
    <m/>
    <s v="IP"/>
    <n v="0.08"/>
    <s v="Walaszczyk"/>
    <d v="2015-11-24T00:00:00"/>
    <m/>
    <x v="0"/>
    <s v="."/>
    <s v="."/>
    <s v="."/>
    <s v="."/>
    <s v="."/>
    <s v="."/>
    <s v="."/>
    <s v="."/>
    <x v="0"/>
    <x v="0"/>
    <x v="0"/>
  </r>
  <r>
    <s v="6268/2015-2"/>
    <x v="128"/>
    <x v="3"/>
    <d v="2015-11-24T00:00:00"/>
    <d v="1900-01-07T00:00:00"/>
    <n v="1"/>
    <d v="2015-12-02T00:00:00"/>
    <x v="50"/>
    <s v="."/>
    <n v="58"/>
    <s v="."/>
    <s v="."/>
    <s v="."/>
    <s v="."/>
    <s v="."/>
    <s v="."/>
    <s v="."/>
    <m/>
    <s v="KC"/>
    <n v="0.25"/>
    <s v="Śliwińska O."/>
    <d v="2015-11-24T00:00:00"/>
    <m/>
    <x v="0"/>
    <s v="."/>
    <s v="."/>
    <s v="."/>
    <s v="."/>
    <s v="."/>
    <s v="."/>
    <s v="."/>
    <s v="."/>
    <x v="1"/>
    <x v="0"/>
    <x v="0"/>
  </r>
  <r>
    <s v="6278/2015-3"/>
    <x v="129"/>
    <x v="3"/>
    <m/>
    <d v="2015-12-01T00:00:00"/>
    <n v="1"/>
    <d v="2015-12-01T00:00:00"/>
    <x v="3"/>
    <s v="."/>
    <n v="101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235/2015-1"/>
    <x v="130"/>
    <x v="0"/>
    <d v="2015-11-23T00:00:00"/>
    <d v="1900-01-02T00:00:00"/>
    <n v="1"/>
    <d v="2015-11-26T00:00:00"/>
    <x v="33"/>
    <s v="."/>
    <n v="1696"/>
    <n v="1900"/>
    <n v="67"/>
    <s v="."/>
    <s v="ok"/>
    <s v="ok"/>
    <s v="Raflatac Raflacoat RH9X 220mm"/>
    <s v="."/>
    <m/>
    <s v="MŁ"/>
    <n v="2.66"/>
    <s v="Kozłowski"/>
    <d v="2015-11-23T00:00:00"/>
    <m/>
    <x v="0"/>
    <s v="."/>
    <s v="."/>
    <s v="."/>
    <s v="."/>
    <s v="."/>
    <s v="."/>
    <s v="."/>
    <s v="."/>
    <x v="0"/>
    <x v="0"/>
    <x v="0"/>
  </r>
  <r>
    <s v="A723/2015-2"/>
    <x v="131"/>
    <x v="13"/>
    <m/>
    <d v="2015-11-26T00:00:00"/>
    <n v="9"/>
    <d v="2015-11-26T00:00:00"/>
    <x v="12"/>
    <s v="11x80 2 kursy"/>
    <n v="600"/>
    <s v="."/>
    <s v="."/>
    <s v="."/>
    <s v="."/>
    <s v="TTR131"/>
    <s v="."/>
    <s v="."/>
    <m/>
    <s v="KC"/>
    <n v="1"/>
    <s v="Kułak"/>
    <d v="2015-11-23T00:00:00"/>
    <m/>
    <x v="0"/>
    <s v="."/>
    <s v="."/>
    <s v="."/>
    <s v="."/>
    <s v="."/>
    <s v="."/>
    <s v="."/>
    <s v="."/>
    <x v="0"/>
    <x v="0"/>
    <x v="0"/>
  </r>
  <r>
    <s v="6216/2015-1"/>
    <x v="82"/>
    <x v="4"/>
    <d v="2015-11-18T00:00:00"/>
    <d v="1900-01-07T00:00:00"/>
    <n v="10"/>
    <d v="2015-11-26T00:00:00"/>
    <x v="4"/>
    <s v="."/>
    <n v="108"/>
    <n v="200"/>
    <n v="132"/>
    <s v="nowy"/>
    <s v="ok"/>
    <s v="ok"/>
    <s v="Raflatac Raflacoat RH9X 220mm"/>
    <s v="."/>
    <m/>
    <s v="IP"/>
    <n v="0.4"/>
    <s v="Placek"/>
    <d v="2015-11-23T00:00:00"/>
    <m/>
    <x v="0"/>
    <s v="."/>
    <s v="."/>
    <s v="."/>
    <s v="."/>
    <s v="."/>
    <s v="."/>
    <s v="."/>
    <s v="."/>
    <x v="0"/>
    <x v="0"/>
    <x v="0"/>
  </r>
  <r>
    <s v="6215/2015-1"/>
    <x v="83"/>
    <x v="4"/>
    <d v="2015-11-18T00:00:00"/>
    <d v="1900-01-07T00:00:00"/>
    <n v="9"/>
    <d v="2015-11-26T00:00:00"/>
    <x v="4"/>
    <s v="."/>
    <n v="78"/>
    <n v="200"/>
    <n v="132"/>
    <s v="nowy"/>
    <s v="ok"/>
    <s v="ok"/>
    <s v="Raflatac Raflacoat RH9X 220mm"/>
    <s v="."/>
    <m/>
    <s v="IP"/>
    <n v="0.4"/>
    <s v="Placek"/>
    <d v="2015-11-23T00:00:00"/>
    <m/>
    <x v="0"/>
    <s v="."/>
    <s v="."/>
    <s v="."/>
    <s v="."/>
    <s v="."/>
    <s v="."/>
    <s v="."/>
    <s v="."/>
    <x v="0"/>
    <x v="0"/>
    <x v="0"/>
  </r>
  <r>
    <s v="6277/2015-5"/>
    <x v="132"/>
    <x v="3"/>
    <m/>
    <d v="2015-12-01T00:00:00"/>
    <n v="1"/>
    <d v="2015-12-01T00:00:00"/>
    <x v="53"/>
    <s v="."/>
    <n v="111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76/2015-5"/>
    <x v="133"/>
    <x v="3"/>
    <m/>
    <d v="2015-12-01T00:00:00"/>
    <n v="1"/>
    <d v="2015-12-01T00:00:00"/>
    <x v="53"/>
    <s v="."/>
    <n v="91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75/2015-5"/>
    <x v="134"/>
    <x v="3"/>
    <m/>
    <d v="2015-12-01T00:00:00"/>
    <n v="1"/>
    <d v="2015-12-01T00:00:00"/>
    <x v="53"/>
    <s v="."/>
    <n v="65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74/2015-5"/>
    <x v="135"/>
    <x v="3"/>
    <m/>
    <d v="2015-12-01T00:00:00"/>
    <n v="1"/>
    <d v="2015-12-01T00:00:00"/>
    <x v="53"/>
    <s v="."/>
    <n v="32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55/2015-3"/>
    <x v="136"/>
    <x v="3"/>
    <m/>
    <d v="2015-11-30T00:00:00"/>
    <n v="1"/>
    <d v="2015-11-30T00:00:00"/>
    <x v="54"/>
    <s v="."/>
    <n v="508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038/2015-1"/>
    <x v="64"/>
    <x v="12"/>
    <d v="2015-11-23T00:00:00"/>
    <d v="1900-01-03T00:00:00"/>
    <n v="5"/>
    <d v="2015-11-27T00:00:00"/>
    <x v="31"/>
    <s v="."/>
    <n v="788"/>
    <n v="800"/>
    <n v="96"/>
    <s v="."/>
    <s v="ok"/>
    <s v="ok"/>
    <s v="Raflatac Raflacoat RP51 256mm"/>
    <s v="."/>
    <m/>
    <s v="MŁ"/>
    <n v="1.5"/>
    <s v="Grześkowiak"/>
    <d v="2015-11-24T00:00:00"/>
    <m/>
    <x v="0"/>
    <s v="."/>
    <s v="."/>
    <n v="700"/>
    <s v="."/>
    <s v="."/>
    <s v="."/>
    <s v="."/>
    <s v="."/>
    <x v="0"/>
    <x v="0"/>
    <x v="0"/>
  </r>
  <r>
    <s v="6254/2015-3"/>
    <x v="137"/>
    <x v="3"/>
    <m/>
    <d v="2015-11-30T00:00:00"/>
    <n v="1"/>
    <d v="2015-11-30T00:00:00"/>
    <x v="54"/>
    <s v="."/>
    <n v="152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53/2015-3"/>
    <x v="138"/>
    <x v="3"/>
    <m/>
    <d v="2015-11-30T00:00:00"/>
    <n v="1"/>
    <d v="2015-11-30T00:00:00"/>
    <x v="54"/>
    <s v="."/>
    <n v="152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82/2015-5"/>
    <x v="17"/>
    <x v="3"/>
    <m/>
    <d v="2015-12-04T00:00:00"/>
    <n v="1"/>
    <d v="2015-12-04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częściowo"/>
    <s v="."/>
    <s v="."/>
    <s v="."/>
    <s v="."/>
    <s v="."/>
    <s v="."/>
    <s v="."/>
    <x v="1"/>
    <x v="0"/>
    <x v="0"/>
  </r>
  <r>
    <s v="6283/2015-4"/>
    <x v="139"/>
    <x v="7"/>
    <m/>
    <d v="2015-12-04T00:00:00"/>
    <n v="1"/>
    <d v="2015-12-04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częściowo"/>
    <s v="."/>
    <s v="."/>
    <s v="."/>
    <s v="."/>
    <s v="."/>
    <s v="."/>
    <s v="."/>
    <x v="1"/>
    <x v="0"/>
    <x v="0"/>
  </r>
  <r>
    <s v="6283/2015-5"/>
    <x v="139"/>
    <x v="3"/>
    <m/>
    <d v="2015-12-04T00:00:00"/>
    <n v="1"/>
    <d v="2015-12-04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częściowo"/>
    <s v="."/>
    <s v="."/>
    <s v="."/>
    <s v="."/>
    <s v="."/>
    <s v="."/>
    <s v="."/>
    <x v="1"/>
    <x v="0"/>
    <x v="0"/>
  </r>
  <r>
    <s v="6286/2015-3"/>
    <x v="140"/>
    <x v="3"/>
    <m/>
    <d v="2015-12-01T00:00:00"/>
    <n v="1"/>
    <d v="2015-12-01T00:00:00"/>
    <x v="1"/>
    <s v="."/>
    <n v="2201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288/2015-3"/>
    <x v="141"/>
    <x v="11"/>
    <m/>
    <d v="2015-12-01T00:00:00"/>
    <n v="1"/>
    <d v="2015-12-01T00:00:00"/>
    <x v="1"/>
    <s v="."/>
    <n v="1063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S-K3-11/2015"/>
    <x v="6"/>
    <x v="18"/>
    <m/>
    <d v="2015-11-24T00:00:00"/>
    <n v="2"/>
    <d v="2015-11-24T00:00:00"/>
    <x v="6"/>
    <s v="."/>
    <s v="."/>
    <s v="."/>
    <s v="."/>
    <s v="."/>
    <s v="."/>
    <s v="."/>
    <s v="."/>
    <s v="."/>
    <m/>
    <s v="."/>
    <n v="1"/>
    <s v="Śliwińska A."/>
    <d v="2015-11-23T00:00:00"/>
    <m/>
    <x v="0"/>
    <s v="."/>
    <s v="."/>
    <n v="1200"/>
    <s v="."/>
    <s v="."/>
    <s v="."/>
    <s v="."/>
    <s v="."/>
    <x v="0"/>
    <x v="0"/>
    <x v="0"/>
  </r>
  <r>
    <s v="6288/2015-4"/>
    <x v="141"/>
    <x v="3"/>
    <m/>
    <d v="2015-12-01T00:00:00"/>
    <n v="1"/>
    <d v="2015-12-01T00:00:00"/>
    <x v="1"/>
    <s v="."/>
    <n v="1063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260/2015-1"/>
    <x v="142"/>
    <x v="4"/>
    <d v="2015-11-23T00:00:00"/>
    <d v="1900-01-02T00:00:00"/>
    <n v="7"/>
    <d v="2015-11-26T00:00:00"/>
    <x v="55"/>
    <s v="próbka"/>
    <n v="45"/>
    <n v="150"/>
    <n v="96"/>
    <s v="nowy"/>
    <s v="ok"/>
    <s v="ok"/>
    <s v="Raflatac PE Gloss white TC85 RP37 175mm"/>
    <s v="."/>
    <m/>
    <s v="IP"/>
    <n v="0.75"/>
    <s v="Mucha Ł."/>
    <d v="2015-11-23T00:00:00"/>
    <m/>
    <x v="0"/>
    <s v="."/>
    <s v="."/>
    <s v="."/>
    <s v="."/>
    <s v="."/>
    <s v="."/>
    <s v="."/>
    <s v="."/>
    <x v="0"/>
    <x v="0"/>
    <x v="0"/>
  </r>
  <r>
    <s v="6292/2015-3"/>
    <x v="143"/>
    <x v="3"/>
    <m/>
    <d v="2015-12-01T00:00:00"/>
    <n v="1"/>
    <d v="2015-12-01T00:00:00"/>
    <x v="1"/>
    <s v="."/>
    <n v="115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295/2015-3"/>
    <x v="144"/>
    <x v="3"/>
    <m/>
    <d v="2015-12-01T00:00:00"/>
    <n v="1"/>
    <d v="2015-12-01T00:00:00"/>
    <x v="1"/>
    <s v="."/>
    <n v="814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296/2015-3"/>
    <x v="52"/>
    <x v="3"/>
    <m/>
    <d v="2015-12-01T00:00:00"/>
    <n v="1"/>
    <d v="2015-12-01T00:00:00"/>
    <x v="1"/>
    <s v="."/>
    <n v="2641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262/2015-1"/>
    <x v="145"/>
    <x v="4"/>
    <d v="2015-11-23T00:00:00"/>
    <d v="1900-01-02T00:00:00"/>
    <n v="9"/>
    <d v="2015-11-26T00:00:00"/>
    <x v="56"/>
    <s v="próbka"/>
    <n v="1"/>
    <n v="50"/>
    <n v="128"/>
    <s v="nowy"/>
    <s v="ok"/>
    <s v="ok"/>
    <s v="Raflatac PP white TC60 RP37 166mm"/>
    <s v="."/>
    <m/>
    <s v="TB"/>
    <n v="0.25"/>
    <s v="Mucha Ł."/>
    <d v="2015-11-23T00:00:00"/>
    <m/>
    <x v="0"/>
    <s v="."/>
    <s v="."/>
    <s v="."/>
    <s v="."/>
    <s v="."/>
    <s v="."/>
    <s v="."/>
    <s v="."/>
    <x v="0"/>
    <x v="0"/>
    <x v="0"/>
  </r>
  <r>
    <s v="6294/2015-2"/>
    <x v="125"/>
    <x v="3"/>
    <d v="2015-11-24T00:00:00"/>
    <d v="1900-01-02T00:00:00"/>
    <n v="1"/>
    <d v="2015-11-27T00:00:00"/>
    <x v="1"/>
    <s v="."/>
    <n v="785"/>
    <s v="."/>
    <s v="."/>
    <s v="."/>
    <s v="."/>
    <s v="."/>
    <s v="."/>
    <s v="."/>
    <m/>
    <s v="TB"/>
    <n v="0.17"/>
    <s v="Maciąg"/>
    <d v="2015-11-24T00:00:00"/>
    <m/>
    <x v="0"/>
    <s v="."/>
    <s v="."/>
    <s v="."/>
    <s v="."/>
    <s v="."/>
    <s v="."/>
    <s v="."/>
    <s v="."/>
    <x v="0"/>
    <x v="0"/>
    <x v="0"/>
  </r>
  <r>
    <s v="6263/2015-1"/>
    <x v="146"/>
    <x v="4"/>
    <d v="2015-11-23T00:00:00"/>
    <d v="1900-01-02T00:00:00"/>
    <n v="8"/>
    <d v="2015-11-26T00:00:00"/>
    <x v="56"/>
    <s v="próbka"/>
    <n v="2"/>
    <n v="50"/>
    <n v="72"/>
    <s v="nowy"/>
    <s v="ok"/>
    <s v="ok"/>
    <s v="Raflatac PP white TC60 RP37 166mm"/>
    <s v="."/>
    <m/>
    <s v="TB"/>
    <n v="0.5"/>
    <s v="Mucha Ł."/>
    <d v="2015-11-23T00:00:00"/>
    <m/>
    <x v="0"/>
    <s v="."/>
    <s v="."/>
    <s v="."/>
    <s v="."/>
    <s v="."/>
    <s v="."/>
    <s v="."/>
    <s v="."/>
    <x v="0"/>
    <x v="0"/>
    <x v="0"/>
  </r>
  <r>
    <s v="6236/2015-2"/>
    <x v="68"/>
    <x v="3"/>
    <d v="2015-11-23T00:00:00"/>
    <d v="1900-01-02T00:00:00"/>
    <n v="1"/>
    <d v="2015-11-26T00:00:00"/>
    <x v="33"/>
    <s v="."/>
    <n v="274"/>
    <s v="."/>
    <s v="."/>
    <s v="."/>
    <s v="."/>
    <s v="."/>
    <s v="."/>
    <s v="."/>
    <m/>
    <s v="MŁ"/>
    <n v="0.17"/>
    <s v="Śliwińska O."/>
    <d v="2015-11-23T00:00:00"/>
    <m/>
    <x v="0"/>
    <s v="."/>
    <s v="."/>
    <s v="."/>
    <s v="."/>
    <s v="."/>
    <s v="."/>
    <s v="."/>
    <s v="."/>
    <x v="0"/>
    <x v="0"/>
    <x v="0"/>
  </r>
  <r>
    <s v="6227/2015-2"/>
    <x v="86"/>
    <x v="11"/>
    <d v="2015-11-24T00:00:00"/>
    <d v="1900-01-01T00:00:00"/>
    <n v="1"/>
    <d v="2015-11-26T00:00:00"/>
    <x v="11"/>
    <s v="."/>
    <n v="1219"/>
    <s v="."/>
    <s v="."/>
    <s v="."/>
    <s v="."/>
    <s v="."/>
    <s v="."/>
    <s v="."/>
    <m/>
    <s v="KC"/>
    <n v="1.5"/>
    <s v="Śliwińska A."/>
    <d v="2015-11-24T00:00:00"/>
    <m/>
    <x v="0"/>
    <s v="."/>
    <s v="."/>
    <s v="."/>
    <s v="."/>
    <s v="."/>
    <s v="."/>
    <s v="."/>
    <s v="."/>
    <x v="0"/>
    <x v="0"/>
    <x v="0"/>
  </r>
  <r>
    <s v="6238/2015-3"/>
    <x v="147"/>
    <x v="3"/>
    <m/>
    <d v="2015-11-26T00:00:00"/>
    <n v="1"/>
    <d v="2015-11-26T00:00:00"/>
    <x v="52"/>
    <s v="."/>
    <n v="5715"/>
    <s v="."/>
    <s v="."/>
    <s v="."/>
    <s v="."/>
    <s v="."/>
    <s v="."/>
    <s v="."/>
    <m/>
    <s v="IP"/>
    <m/>
    <s v="."/>
    <m/>
    <d v="2015-11-30T00:00:00"/>
    <x v="1"/>
    <s v="."/>
    <s v="."/>
    <s v="."/>
    <s v="."/>
    <s v="."/>
    <s v="."/>
    <s v="."/>
    <s v="."/>
    <x v="0"/>
    <x v="0"/>
    <x v="0"/>
  </r>
  <r>
    <s v="6223/2015-5"/>
    <x v="13"/>
    <x v="3"/>
    <m/>
    <d v="2015-11-25T00:00:00"/>
    <n v="1"/>
    <d v="2015-11-25T00:00:00"/>
    <x v="10"/>
    <s v="."/>
    <n v="26"/>
    <s v="."/>
    <s v="."/>
    <s v="."/>
    <s v="."/>
    <s v="."/>
    <s v="."/>
    <s v="."/>
    <m/>
    <s v="KC"/>
    <m/>
    <s v="."/>
    <m/>
    <d v="2015-11-26T00:00:00"/>
    <x v="1"/>
    <s v="."/>
    <s v="."/>
    <s v="."/>
    <s v="."/>
    <s v="."/>
    <s v="."/>
    <s v="."/>
    <s v="."/>
    <x v="0"/>
    <x v="0"/>
    <x v="0"/>
  </r>
  <r>
    <s v="6238/2015-3"/>
    <x v="147"/>
    <x v="3"/>
    <m/>
    <d v="2015-11-30T00:00:00"/>
    <n v="1"/>
    <d v="2015-11-30T00:00:00"/>
    <x v="52"/>
    <s v="."/>
    <n v="5715"/>
    <s v="."/>
    <s v="."/>
    <s v="."/>
    <s v="."/>
    <s v="."/>
    <s v="."/>
    <s v="."/>
    <m/>
    <s v="IP"/>
    <m/>
    <s v="."/>
    <m/>
    <d v="2015-11-30T00:00:00"/>
    <x v="1"/>
    <s v="dokończenie"/>
    <s v="."/>
    <s v="."/>
    <s v="."/>
    <s v="."/>
    <s v="."/>
    <s v="."/>
    <s v="."/>
    <x v="0"/>
    <x v="0"/>
    <x v="0"/>
  </r>
  <r>
    <s v="6235/2015-2"/>
    <x v="130"/>
    <x v="3"/>
    <d v="2015-11-23T00:00:00"/>
    <d v="1900-01-02T00:00:00"/>
    <n v="1"/>
    <d v="2015-11-26T00:00:00"/>
    <x v="33"/>
    <s v="."/>
    <n v="1696"/>
    <s v="."/>
    <s v="."/>
    <s v="."/>
    <s v="."/>
    <s v="."/>
    <s v="."/>
    <s v="."/>
    <m/>
    <s v="MŁ"/>
    <n v="0.17"/>
    <s v="Maciąg"/>
    <d v="2015-11-23T00:00:00"/>
    <m/>
    <x v="0"/>
    <s v="."/>
    <s v="."/>
    <s v="."/>
    <s v="."/>
    <s v="."/>
    <s v="."/>
    <s v="."/>
    <s v="."/>
    <x v="0"/>
    <x v="0"/>
    <x v="0"/>
  </r>
  <r>
    <s v="6297/2015-3"/>
    <x v="148"/>
    <x v="3"/>
    <m/>
    <d v="2015-12-01T00:00:00"/>
    <n v="1"/>
    <d v="2015-12-01T00:00:00"/>
    <x v="1"/>
    <s v="."/>
    <n v="431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285/2015-5"/>
    <x v="97"/>
    <x v="7"/>
    <m/>
    <d v="2015-11-27T00:00:00"/>
    <n v="1"/>
    <d v="2015-11-27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częściowo, 400 szt"/>
    <s v="."/>
    <s v="."/>
    <s v="."/>
    <s v="."/>
    <s v="."/>
    <s v="."/>
    <s v="."/>
    <x v="0"/>
    <x v="0"/>
    <x v="0"/>
  </r>
  <r>
    <s v="6293/2015-3"/>
    <x v="149"/>
    <x v="3"/>
    <m/>
    <d v="2015-12-01T00:00:00"/>
    <n v="1"/>
    <d v="2015-12-01T00:00:00"/>
    <x v="1"/>
    <s v="."/>
    <n v="816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5831/2015-1"/>
    <x v="65"/>
    <x v="12"/>
    <d v="2015-11-23T00:00:00"/>
    <d v="1900-01-06T00:00:00"/>
    <n v="1"/>
    <d v="2015-11-30T00:00:00"/>
    <x v="32"/>
    <s v="."/>
    <n v="4295"/>
    <n v="4600"/>
    <n v="132"/>
    <s v="."/>
    <s v="ok"/>
    <s v="ok"/>
    <s v="Ritrama Vellum S.C. AP904 320mm"/>
    <s v="."/>
    <m/>
    <s v="MŁ"/>
    <n v="4.66"/>
    <s v="Grześkowiak"/>
    <d v="2015-11-24T00:00:00"/>
    <m/>
    <x v="0"/>
    <s v="."/>
    <s v="."/>
    <n v="830"/>
    <s v="."/>
    <s v="."/>
    <s v="."/>
    <s v="."/>
    <s v="."/>
    <x v="0"/>
    <x v="0"/>
    <x v="0"/>
  </r>
  <r>
    <s v="6285/2015-6"/>
    <x v="97"/>
    <x v="3"/>
    <m/>
    <d v="2015-11-27T00:00:00"/>
    <n v="1"/>
    <d v="2015-11-27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częściowo, 400 szt"/>
    <s v="."/>
    <s v="."/>
    <s v="."/>
    <s v="."/>
    <s v="."/>
    <s v="."/>
    <s v="."/>
    <x v="0"/>
    <x v="0"/>
    <x v="0"/>
  </r>
  <r>
    <s v="6284/2015-3"/>
    <x v="150"/>
    <x v="7"/>
    <m/>
    <d v="2015-12-01T00:00:00"/>
    <n v="1"/>
    <d v="2015-12-01T00:00:00"/>
    <x v="57"/>
    <s v="."/>
    <n v="5486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284/2015-4"/>
    <x v="150"/>
    <x v="3"/>
    <m/>
    <d v="2015-12-01T00:00:00"/>
    <n v="1"/>
    <d v="2015-12-01T00:00:00"/>
    <x v="57"/>
    <s v="."/>
    <n v="5486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337/2015-1"/>
    <x v="29"/>
    <x v="4"/>
    <d v="2015-11-24T00:00:00"/>
    <d v="1900-01-02T00:00:00"/>
    <n v="3"/>
    <d v="2015-11-27T00:00:00"/>
    <x v="14"/>
    <s v="."/>
    <n v="304"/>
    <n v="500"/>
    <n v="96"/>
    <s v="ok"/>
    <s v="ok"/>
    <s v="ok"/>
    <s v="Avery Synthetic paper 160 XS 166mm"/>
    <s v="rano poproszę"/>
    <m/>
    <s v="IP"/>
    <n v="0.5"/>
    <s v="Mucha Ł."/>
    <d v="2015-11-24T00:00:00"/>
    <d v="2015-12-02T00:00:00"/>
    <x v="0"/>
    <s v="."/>
    <s v="."/>
    <s v="."/>
    <s v="."/>
    <s v="."/>
    <s v="."/>
    <s v="."/>
    <s v="."/>
    <x v="0"/>
    <x v="0"/>
    <x v="0"/>
  </r>
  <r>
    <s v="6290/2015-3"/>
    <x v="151"/>
    <x v="10"/>
    <m/>
    <d v="2015-12-01T00:00:00"/>
    <n v="1"/>
    <d v="2015-12-01T00:00:00"/>
    <x v="14"/>
    <s v="."/>
    <n v="10629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313/2015-4"/>
    <x v="152"/>
    <x v="7"/>
    <m/>
    <d v="2015-12-01T00:00:00"/>
    <n v="1"/>
    <d v="2015-12-01T00:00:00"/>
    <x v="58"/>
    <s v="."/>
    <n v="104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13/2015-5"/>
    <x v="152"/>
    <x v="3"/>
    <m/>
    <d v="2015-12-01T00:00:00"/>
    <n v="1"/>
    <d v="2015-12-01T00:00:00"/>
    <x v="58"/>
    <s v="."/>
    <n v="104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57/2015-1"/>
    <x v="153"/>
    <x v="0"/>
    <d v="2015-11-23T00:00:00"/>
    <d v="1900-01-02T00:00:00"/>
    <n v="2"/>
    <d v="2015-11-26T00:00:00"/>
    <x v="42"/>
    <s v="próbka"/>
    <n v="3"/>
    <n v="100"/>
    <n v="96"/>
    <s v="."/>
    <s v="ok"/>
    <s v="ok"/>
    <s v="Avery PE DATA80 MAT WH F1 223mm"/>
    <s v="."/>
    <m/>
    <s v="IP"/>
    <n v="1.08"/>
    <s v="Kozłowski"/>
    <d v="2015-11-23T00:00:00"/>
    <m/>
    <x v="0"/>
    <s v="."/>
    <s v="."/>
    <s v="."/>
    <s v="."/>
    <s v="."/>
    <s v="."/>
    <s v="."/>
    <s v="."/>
    <x v="0"/>
    <x v="0"/>
    <x v="0"/>
  </r>
  <r>
    <s v="B34/2015-2"/>
    <x v="154"/>
    <x v="3"/>
    <m/>
    <d v="2015-11-30T00:00:00"/>
    <n v="1"/>
    <d v="2015-11-30T00:00:00"/>
    <x v="59"/>
    <s v="40x30"/>
    <s v="25000szt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79/2015-2"/>
    <x v="155"/>
    <x v="3"/>
    <m/>
    <d v="2015-11-27T00:00:00"/>
    <n v="1"/>
    <d v="2015-11-27T00:00:00"/>
    <x v="60"/>
    <s v="."/>
    <n v="2540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322/2015-2"/>
    <x v="156"/>
    <x v="3"/>
    <m/>
    <d v="2015-11-30T00:00:00"/>
    <n v="1"/>
    <d v="2015-11-30T00:00:00"/>
    <x v="28"/>
    <s v="."/>
    <n v="1905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0"/>
    <x v="0"/>
    <x v="0"/>
  </r>
  <r>
    <s v="6258/2015-1"/>
    <x v="157"/>
    <x v="0"/>
    <d v="2015-11-23T00:00:00"/>
    <d v="1900-01-02T00:00:00"/>
    <n v="5"/>
    <d v="2015-11-26T00:00:00"/>
    <x v="18"/>
    <s v="."/>
    <n v="354"/>
    <n v="450"/>
    <n v="67"/>
    <s v="."/>
    <s v="ok"/>
    <s v="ok"/>
    <s v="Raflatac Raflacoat RH09 155mm"/>
    <s v="."/>
    <m/>
    <s v="KC"/>
    <n v="1.17"/>
    <s v="Józefczyk"/>
    <d v="2015-11-23T00:00:00"/>
    <m/>
    <x v="0"/>
    <s v="."/>
    <s v="."/>
    <s v="."/>
    <s v="."/>
    <s v="."/>
    <s v="."/>
    <s v="."/>
    <s v="."/>
    <x v="0"/>
    <x v="0"/>
    <x v="0"/>
  </r>
  <r>
    <s v="6230/2015-1"/>
    <x v="98"/>
    <x v="6"/>
    <d v="2015-11-20T00:00:00"/>
    <d v="1900-01-06T00:00:00"/>
    <n v="1"/>
    <d v="2015-11-27T00:00:00"/>
    <x v="44"/>
    <s v="."/>
    <n v="952"/>
    <n v="1300"/>
    <n v="120"/>
    <s v="ok"/>
    <s v="ok"/>
    <s v="ok"/>
    <s v="Avery PE 150 white S692 222mm"/>
    <s v="."/>
    <m/>
    <s v="TB"/>
    <n v="1.75"/>
    <s v="Górski"/>
    <d v="2015-11-23T00:00:00"/>
    <m/>
    <x v="0"/>
    <s v="."/>
    <s v="."/>
    <s v="."/>
    <s v="."/>
    <s v="."/>
    <s v="."/>
    <s v="."/>
    <s v="."/>
    <x v="0"/>
    <x v="0"/>
    <x v="0"/>
  </r>
  <r>
    <s v="6314/2015-2"/>
    <x v="158"/>
    <x v="3"/>
    <m/>
    <d v="2015-11-30T00:00:00"/>
    <n v="1"/>
    <d v="2015-11-30T00:00:00"/>
    <x v="29"/>
    <s v="."/>
    <n v="531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0"/>
    <x v="0"/>
    <x v="0"/>
  </r>
  <r>
    <s v="6317/2015-2"/>
    <x v="159"/>
    <x v="3"/>
    <m/>
    <d v="2015-11-30T00:00:00"/>
    <n v="1"/>
    <d v="2015-11-30T00:00:00"/>
    <x v="61"/>
    <s v="."/>
    <n v="1340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28/2015-1"/>
    <x v="99"/>
    <x v="6"/>
    <d v="2015-11-20T00:00:00"/>
    <d v="1900-01-06T00:00:00"/>
    <n v="2"/>
    <d v="2015-11-27T00:00:00"/>
    <x v="44"/>
    <s v="."/>
    <n v="80"/>
    <n v="350"/>
    <n v="85"/>
    <s v="ok"/>
    <s v="ok"/>
    <s v="ok"/>
    <s v="Avery PE 150 white S692 222mm"/>
    <s v="."/>
    <m/>
    <s v="TB"/>
    <n v="0.66"/>
    <s v="Górski"/>
    <d v="2015-11-23T00:00:00"/>
    <m/>
    <x v="0"/>
    <s v="."/>
    <s v="."/>
    <s v="."/>
    <s v="."/>
    <s v="."/>
    <s v="."/>
    <s v="."/>
    <s v="."/>
    <x v="0"/>
    <x v="0"/>
    <x v="0"/>
  </r>
  <r>
    <s v="6287/2015-4"/>
    <x v="160"/>
    <x v="3"/>
    <m/>
    <d v="2015-12-09T00:00:00"/>
    <n v="1"/>
    <d v="2015-12-09T00:00:00"/>
    <x v="1"/>
    <s v="."/>
    <n v="84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289/2015-5"/>
    <x v="161"/>
    <x v="3"/>
    <m/>
    <d v="2015-12-09T00:00:00"/>
    <n v="1"/>
    <d v="2015-12-09T00:00:00"/>
    <x v="1"/>
    <s v="."/>
    <n v="1100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291/2015-5"/>
    <x v="26"/>
    <x v="3"/>
    <m/>
    <d v="2015-12-09T00:00:00"/>
    <n v="1"/>
    <d v="2015-12-09T00:00:00"/>
    <x v="1"/>
    <s v="."/>
    <n v="275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264/2015-3"/>
    <x v="162"/>
    <x v="3"/>
    <m/>
    <d v="2015-11-30T00:00:00"/>
    <n v="1"/>
    <d v="2015-11-30T00:00:00"/>
    <x v="62"/>
    <s v="."/>
    <n v="4497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316/2015-4"/>
    <x v="163"/>
    <x v="3"/>
    <m/>
    <d v="2015-12-01T00:00:00"/>
    <n v="1"/>
    <d v="2015-12-01T00:00:00"/>
    <x v="11"/>
    <s v="."/>
    <n v="889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29/2015-3"/>
    <x v="164"/>
    <x v="3"/>
    <m/>
    <d v="2015-12-01T00:00:00"/>
    <n v="1"/>
    <d v="2015-12-01T00:00:00"/>
    <x v="63"/>
    <s v="."/>
    <n v="548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332/2015-4"/>
    <x v="165"/>
    <x v="3"/>
    <m/>
    <d v="2015-12-02T00:00:00"/>
    <n v="1"/>
    <d v="2015-12-02T00:00:00"/>
    <x v="64"/>
    <s v="."/>
    <n v="3962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356/2015-1"/>
    <x v="166"/>
    <x v="6"/>
    <d v="2015-11-25T00:00:00"/>
    <d v="1899-12-31T00:00:00"/>
    <n v="2"/>
    <d v="2015-11-26T00:00:00"/>
    <x v="56"/>
    <s v="."/>
    <n v="38"/>
    <n v="300"/>
    <n v="120"/>
    <s v="nowy"/>
    <s v="ok"/>
    <s v="do wywołania"/>
    <s v="Raflatac PP white TC60 RP37 HD70 250mm"/>
    <s v="rano poproszę"/>
    <m/>
    <s v="TB"/>
    <m/>
    <s v="."/>
    <m/>
    <d v="2015-12-01T00:00:00"/>
    <x v="1"/>
    <s v="primerowanie"/>
    <s v="."/>
    <s v="."/>
    <s v="."/>
    <s v="."/>
    <s v="."/>
    <s v="."/>
    <s v="."/>
    <x v="0"/>
    <x v="0"/>
    <x v="0"/>
  </r>
  <r>
    <s v="6290/2015-4"/>
    <x v="151"/>
    <x v="7"/>
    <m/>
    <d v="2015-12-01T00:00:00"/>
    <n v="1"/>
    <d v="2015-12-01T00:00:00"/>
    <x v="14"/>
    <s v="."/>
    <n v="10629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285/2015-1"/>
    <x v="97"/>
    <x v="4"/>
    <d v="2015-11-24T00:00:00"/>
    <d v="1900-01-02T00:00:00"/>
    <n v="4"/>
    <d v="2015-11-27T00:00:00"/>
    <x v="14"/>
    <s v="."/>
    <n v="304"/>
    <n v="500"/>
    <n v="96"/>
    <s v="ok"/>
    <s v="ok"/>
    <s v="ok"/>
    <s v="Avery Synthetic paper 160 XS 166mm"/>
    <s v="rano poproszę"/>
    <m/>
    <s v="IP"/>
    <n v="0.5"/>
    <s v="Mucha Ł."/>
    <d v="2015-11-24T00:00:00"/>
    <d v="2015-12-01T00:00:00"/>
    <x v="0"/>
    <s v="."/>
    <s v="."/>
    <s v="."/>
    <s v="."/>
    <s v="."/>
    <s v="."/>
    <s v="."/>
    <s v="."/>
    <x v="0"/>
    <x v="0"/>
    <x v="0"/>
  </r>
  <r>
    <s v="6331/2015-2"/>
    <x v="167"/>
    <x v="7"/>
    <d v="2015-11-24T00:00:00"/>
    <d v="1900-01-05T00:00:00"/>
    <n v="1"/>
    <d v="2015-11-30T00:00:00"/>
    <x v="17"/>
    <s v="."/>
    <n v="38"/>
    <s v="."/>
    <s v="."/>
    <s v="."/>
    <s v="."/>
    <s v="."/>
    <s v="."/>
    <s v="."/>
    <m/>
    <s v="DG"/>
    <n v="0.33"/>
    <s v="Linert"/>
    <d v="2015-11-24T00:00:00"/>
    <m/>
    <x v="0"/>
    <s v="."/>
    <s v="."/>
    <s v="."/>
    <s v="."/>
    <s v="."/>
    <s v="."/>
    <s v="."/>
    <s v="."/>
    <x v="0"/>
    <x v="0"/>
    <x v="0"/>
  </r>
  <r>
    <s v="6241/2015-1"/>
    <x v="115"/>
    <x v="4"/>
    <d v="2015-11-23T00:00:00"/>
    <d v="1900-01-07T00:00:00"/>
    <n v="6"/>
    <d v="2015-12-01T00:00:00"/>
    <x v="20"/>
    <s v="."/>
    <n v="627"/>
    <n v="800"/>
    <n v="134"/>
    <s v="ok"/>
    <s v="ok"/>
    <s v="ok"/>
    <s v="Raflatac PET Matt silv 50 RP37 200mm"/>
    <s v="."/>
    <m/>
    <s v="IP"/>
    <m/>
    <s v="Placek"/>
    <d v="2015-11-24T00:00:00"/>
    <m/>
    <x v="0"/>
    <s v="."/>
    <s v="."/>
    <s v="."/>
    <s v="."/>
    <s v="."/>
    <s v="."/>
    <s v="."/>
    <s v="."/>
    <x v="1"/>
    <x v="0"/>
    <x v="0"/>
  </r>
  <r>
    <s v="6331/2015-3"/>
    <x v="167"/>
    <x v="3"/>
    <d v="2015-11-24T00:00:00"/>
    <d v="1900-01-05T00:00:00"/>
    <n v="1"/>
    <d v="2015-11-30T00:00:00"/>
    <x v="17"/>
    <s v="."/>
    <n v="38"/>
    <s v="."/>
    <s v="."/>
    <s v="."/>
    <s v="."/>
    <s v="."/>
    <s v="."/>
    <s v="."/>
    <m/>
    <s v="DG"/>
    <n v="0.17"/>
    <s v="Linert"/>
    <d v="2015-11-24T00:00:00"/>
    <m/>
    <x v="0"/>
    <s v="."/>
    <s v="."/>
    <s v="."/>
    <s v="."/>
    <s v="."/>
    <s v="."/>
    <s v="."/>
    <s v="."/>
    <x v="0"/>
    <x v="0"/>
    <x v="0"/>
  </r>
  <r>
    <s v="6328/2015-2"/>
    <x v="49"/>
    <x v="7"/>
    <d v="2015-11-24T00:00:00"/>
    <d v="1900-01-05T00:00:00"/>
    <n v="1"/>
    <d v="2015-11-30T00:00:00"/>
    <x v="17"/>
    <s v="."/>
    <n v="76"/>
    <s v="."/>
    <s v="."/>
    <s v="."/>
    <s v="."/>
    <s v="."/>
    <s v="."/>
    <s v="."/>
    <m/>
    <s v="DG"/>
    <n v="0.17"/>
    <s v="Śliwińska O."/>
    <d v="2015-11-24T00:00:00"/>
    <m/>
    <x v="0"/>
    <s v="."/>
    <s v="."/>
    <s v="."/>
    <s v="."/>
    <s v="."/>
    <s v="."/>
    <s v="."/>
    <s v="."/>
    <x v="0"/>
    <x v="0"/>
    <x v="0"/>
  </r>
  <r>
    <s v="6327/2015-1"/>
    <x v="168"/>
    <x v="4"/>
    <d v="2015-11-24T00:00:00"/>
    <d v="1900-01-07T00:00:00"/>
    <n v="7"/>
    <d v="2015-12-02T00:00:00"/>
    <x v="20"/>
    <s v="."/>
    <n v="212"/>
    <n v="500"/>
    <n v="134"/>
    <s v="ok"/>
    <s v="ok"/>
    <s v="ok"/>
    <s v="Raflatac PET matt silv 50 RP37 200mm"/>
    <s v="24.11, pilne po dostawie"/>
    <m/>
    <s v="IP"/>
    <m/>
    <s v="Placek"/>
    <d v="2015-11-24T00:00:00"/>
    <m/>
    <x v="0"/>
    <s v="."/>
    <s v="."/>
    <s v="."/>
    <s v="."/>
    <s v="."/>
    <s v="."/>
    <s v="."/>
    <s v="."/>
    <x v="1"/>
    <x v="0"/>
    <x v="0"/>
  </r>
  <r>
    <s v="6330/2015-1"/>
    <x v="169"/>
    <x v="6"/>
    <d v="2015-11-24T00:00:00"/>
    <d v="1900-01-07T00:00:00"/>
    <n v="3"/>
    <d v="2015-12-02T00:00:00"/>
    <x v="65"/>
    <s v="."/>
    <n v="100"/>
    <n v="300"/>
    <n v="90"/>
    <s v="nowy"/>
    <s v="ok"/>
    <s v="ok"/>
    <s v="Raflatac PP white TC60 RP37 HD70 166mm"/>
    <s v="."/>
    <m/>
    <s v="MŁ"/>
    <m/>
    <s v="."/>
    <m/>
    <m/>
    <x v="1"/>
    <s v="primerowanie"/>
    <s v="."/>
    <s v="."/>
    <s v="."/>
    <s v="."/>
    <s v="."/>
    <s v="."/>
    <s v="."/>
    <x v="1"/>
    <x v="0"/>
    <x v="0"/>
  </r>
  <r>
    <s v="6328/2015-3"/>
    <x v="49"/>
    <x v="3"/>
    <d v="2015-11-24T00:00:00"/>
    <d v="1900-01-05T00:00:00"/>
    <n v="1"/>
    <d v="2015-11-30T00:00:00"/>
    <x v="17"/>
    <s v="."/>
    <n v="76"/>
    <s v="."/>
    <s v="."/>
    <s v="."/>
    <s v="."/>
    <s v="."/>
    <s v="."/>
    <s v="."/>
    <m/>
    <s v="DG"/>
    <n v="0.17"/>
    <s v="Śliwińska O."/>
    <d v="2015-11-24T00:00:00"/>
    <m/>
    <x v="0"/>
    <s v="."/>
    <s v="."/>
    <s v="."/>
    <s v="."/>
    <s v="."/>
    <s v="."/>
    <s v="."/>
    <s v="."/>
    <x v="0"/>
    <x v="0"/>
    <x v="0"/>
  </r>
  <r>
    <s v="6290/2015-5"/>
    <x v="151"/>
    <x v="3"/>
    <m/>
    <d v="2015-12-01T00:00:00"/>
    <n v="1"/>
    <d v="2015-12-01T00:00:00"/>
    <x v="14"/>
    <s v="."/>
    <n v="10629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266/2015-1"/>
    <x v="170"/>
    <x v="0"/>
    <d v="2015-11-23T00:00:00"/>
    <d v="1900-01-02T00:00:00"/>
    <n v="3"/>
    <d v="2015-11-26T00:00:00"/>
    <x v="38"/>
    <s v="."/>
    <n v="449"/>
    <n v="600"/>
    <n v="85"/>
    <s v="."/>
    <s v="ok"/>
    <s v="ok"/>
    <s v="Avery PVC Clear AL170 213mm"/>
    <s v="."/>
    <m/>
    <s v="KC"/>
    <n v="1.58"/>
    <s v="Kozłowski"/>
    <d v="2015-11-23T00:00:00"/>
    <m/>
    <x v="0"/>
    <s v="."/>
    <s v="."/>
    <s v="."/>
    <s v="."/>
    <s v="."/>
    <s v="."/>
    <s v="."/>
    <s v="."/>
    <x v="0"/>
    <x v="0"/>
    <x v="0"/>
  </r>
  <r>
    <s v="6321/2015-2"/>
    <x v="0"/>
    <x v="3"/>
    <m/>
    <d v="2015-12-17T00:00:00"/>
    <n v="1"/>
    <d v="2015-12-17T00:00:00"/>
    <x v="0"/>
    <s v="."/>
    <n v="190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320/2015-2"/>
    <x v="0"/>
    <x v="3"/>
    <m/>
    <d v="2015-12-17T00:00:00"/>
    <n v="1"/>
    <d v="2015-12-17T00:00:00"/>
    <x v="0"/>
    <s v="."/>
    <n v="317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282/2015-1"/>
    <x v="17"/>
    <x v="4"/>
    <d v="2015-11-24T00:00:00"/>
    <d v="1900-01-09T00:00:00"/>
    <n v="5"/>
    <d v="2015-12-04T00:00:00"/>
    <x v="14"/>
    <s v="."/>
    <n v="304"/>
    <n v="500"/>
    <n v="96"/>
    <s v="ok"/>
    <s v="ok"/>
    <s v="ok"/>
    <s v="Avery Synthetic paper 160 XS 166mm"/>
    <s v="rano poproszę"/>
    <m/>
    <s v="IP"/>
    <n v="0.5"/>
    <s v="Mucha Ł."/>
    <d v="2015-11-24T00:00:00"/>
    <d v="2015-12-01T00:00:00"/>
    <x v="0"/>
    <s v="."/>
    <s v="."/>
    <s v="."/>
    <s v="."/>
    <s v="."/>
    <s v="."/>
    <s v="."/>
    <s v="."/>
    <x v="1"/>
    <x v="0"/>
    <x v="0"/>
  </r>
  <r>
    <s v="6232/2015-2"/>
    <x v="101"/>
    <x v="18"/>
    <d v="2015-11-24T00:00:00"/>
    <d v="1900-01-05T00:00:00"/>
    <n v="4"/>
    <d v="2015-11-30T00:00:00"/>
    <x v="14"/>
    <s v="."/>
    <n v="1063"/>
    <s v="."/>
    <s v="."/>
    <s v="."/>
    <s v="."/>
    <s v="."/>
    <s v="."/>
    <s v="."/>
    <m/>
    <s v="IP"/>
    <n v="4"/>
    <s v="Śliwińska A."/>
    <d v="2015-11-24T00:00:00"/>
    <m/>
    <x v="0"/>
    <s v="."/>
    <s v="."/>
    <s v="."/>
    <s v="."/>
    <s v="."/>
    <s v="."/>
    <s v="."/>
    <s v="."/>
    <x v="0"/>
    <x v="0"/>
    <x v="0"/>
  </r>
  <r>
    <s v="6319/2015-2"/>
    <x v="0"/>
    <x v="3"/>
    <m/>
    <d v="2015-12-17T00:00:00"/>
    <n v="1"/>
    <d v="2015-12-17T00:00:00"/>
    <x v="0"/>
    <s v="."/>
    <n v="1587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318/2015-2"/>
    <x v="0"/>
    <x v="3"/>
    <m/>
    <d v="2015-12-17T00:00:00"/>
    <n v="1"/>
    <d v="2015-12-17T00:00:00"/>
    <x v="0"/>
    <s v="."/>
    <n v="635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315/2015-2"/>
    <x v="171"/>
    <x v="7"/>
    <d v="2015-11-24T00:00:00"/>
    <d v="1900-01-06T00:00:00"/>
    <n v="1"/>
    <d v="2015-12-01T00:00:00"/>
    <x v="14"/>
    <s v="."/>
    <n v="79"/>
    <s v="."/>
    <s v="."/>
    <s v="."/>
    <s v="."/>
    <s v="."/>
    <s v="."/>
    <s v="."/>
    <m/>
    <s v="IP"/>
    <n v="0.08"/>
    <s v="Śliwińska O."/>
    <d v="2015-11-24T00:00:00"/>
    <m/>
    <x v="0"/>
    <s v="."/>
    <s v="."/>
    <s v="."/>
    <s v="."/>
    <s v="."/>
    <s v="."/>
    <s v="."/>
    <s v="."/>
    <x v="1"/>
    <x v="0"/>
    <x v="0"/>
  </r>
  <r>
    <s v="6309/2015-4"/>
    <x v="172"/>
    <x v="3"/>
    <m/>
    <d v="2015-12-03T00:00:00"/>
    <n v="1"/>
    <d v="2015-12-03T00:00:00"/>
    <x v="66"/>
    <s v="."/>
    <n v="476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15/2015-3"/>
    <x v="171"/>
    <x v="3"/>
    <d v="2015-11-24T00:00:00"/>
    <d v="1900-01-06T00:00:00"/>
    <n v="1"/>
    <d v="2015-12-01T00:00:00"/>
    <x v="14"/>
    <s v="."/>
    <n v="79"/>
    <s v="."/>
    <s v="."/>
    <s v="."/>
    <s v="."/>
    <s v="."/>
    <s v="."/>
    <s v="."/>
    <m/>
    <s v="IP"/>
    <n v="0.17"/>
    <s v="Śliwińska O."/>
    <d v="2015-11-24T00:00:00"/>
    <m/>
    <x v="0"/>
    <s v="."/>
    <s v="."/>
    <s v="."/>
    <s v="."/>
    <s v="."/>
    <s v="."/>
    <s v="."/>
    <s v="."/>
    <x v="1"/>
    <x v="0"/>
    <x v="0"/>
  </r>
  <r>
    <s v="6308/2015-4"/>
    <x v="173"/>
    <x v="3"/>
    <m/>
    <d v="2015-12-03T00:00:00"/>
    <n v="1"/>
    <d v="2015-12-03T00:00:00"/>
    <x v="66"/>
    <s v="."/>
    <n v="476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256/2015-3"/>
    <x v="31"/>
    <x v="3"/>
    <d v="2015-11-23T00:00:00"/>
    <d v="1900-01-02T00:00:00"/>
    <n v="1"/>
    <d v="2015-11-26T00:00:00"/>
    <x v="4"/>
    <s v="."/>
    <n v="254"/>
    <s v="."/>
    <s v="."/>
    <s v="."/>
    <s v="."/>
    <s v="."/>
    <s v="."/>
    <s v="."/>
    <m/>
    <s v="IP"/>
    <n v="0.17"/>
    <s v="Maciąg"/>
    <d v="2015-11-23T00:00:00"/>
    <m/>
    <x v="0"/>
    <s v="."/>
    <s v="."/>
    <s v="."/>
    <s v="."/>
    <s v="."/>
    <s v="."/>
    <s v="."/>
    <s v="."/>
    <x v="0"/>
    <x v="0"/>
    <x v="0"/>
  </r>
  <r>
    <s v="6272/2015-1"/>
    <x v="127"/>
    <x v="0"/>
    <d v="2015-11-23T00:00:00"/>
    <d v="1900-01-03T00:00:00"/>
    <n v="4"/>
    <d v="2015-11-27T00:00:00"/>
    <x v="52"/>
    <s v="."/>
    <n v="339"/>
    <n v="600"/>
    <n v="96"/>
    <s v="."/>
    <s v="ok"/>
    <s v="ok"/>
    <s v="Raflatac Synthermal Premium 200mm"/>
    <s v="."/>
    <m/>
    <s v="IP"/>
    <n v="2.17"/>
    <s v="Kozłowski"/>
    <d v="2015-11-23T00:00:00"/>
    <m/>
    <x v="0"/>
    <s v="."/>
    <s v="."/>
    <s v="."/>
    <s v="."/>
    <s v="."/>
    <s v="."/>
    <s v="."/>
    <s v="."/>
    <x v="0"/>
    <x v="0"/>
    <x v="0"/>
  </r>
  <r>
    <s v="5909/2015-1"/>
    <x v="67"/>
    <x v="0"/>
    <d v="2015-11-23T00:00:00"/>
    <d v="1900-01-07T00:00:00"/>
    <n v="1"/>
    <d v="2015-12-01T00:00:00"/>
    <x v="27"/>
    <s v="."/>
    <n v="2120"/>
    <n v="2200"/>
    <n v="66"/>
    <s v="."/>
    <s v="ok"/>
    <s v="ok"/>
    <s v="Raflatac Vellum RH09 258mm"/>
    <s v="10.11"/>
    <m/>
    <s v="KC"/>
    <n v="2.5"/>
    <s v="Józefczyk"/>
    <d v="2015-11-24T00:00:00"/>
    <m/>
    <x v="0"/>
    <s v="."/>
    <s v="."/>
    <n v="700"/>
    <s v="."/>
    <s v="."/>
    <s v="."/>
    <s v="."/>
    <s v="."/>
    <x v="1"/>
    <x v="0"/>
    <x v="0"/>
  </r>
  <r>
    <s v="6307/2015-4"/>
    <x v="174"/>
    <x v="3"/>
    <m/>
    <d v="2015-12-03T00:00:00"/>
    <n v="1"/>
    <d v="2015-12-03T00:00:00"/>
    <x v="66"/>
    <s v="."/>
    <n v="476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6/2015-4"/>
    <x v="175"/>
    <x v="3"/>
    <m/>
    <d v="2015-12-03T00:00:00"/>
    <n v="1"/>
    <d v="2015-12-03T00:00:00"/>
    <x v="66"/>
    <s v="."/>
    <n v="476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5/2015-4"/>
    <x v="176"/>
    <x v="3"/>
    <m/>
    <d v="2015-12-03T00:00:00"/>
    <n v="1"/>
    <d v="2015-12-03T00:00:00"/>
    <x v="66"/>
    <s v="."/>
    <n v="476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4/2015-4"/>
    <x v="177"/>
    <x v="3"/>
    <m/>
    <d v="2015-12-03T00:00:00"/>
    <n v="1"/>
    <d v="2015-12-03T00:00:00"/>
    <x v="66"/>
    <s v="."/>
    <n v="314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3/2015-4"/>
    <x v="178"/>
    <x v="3"/>
    <m/>
    <d v="2015-12-03T00:00:00"/>
    <n v="1"/>
    <d v="2015-12-03T00:00:00"/>
    <x v="66"/>
    <s v="."/>
    <n v="314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2/2015-4"/>
    <x v="179"/>
    <x v="3"/>
    <m/>
    <d v="2015-12-03T00:00:00"/>
    <n v="1"/>
    <d v="2015-12-03T00:00:00"/>
    <x v="66"/>
    <s v="."/>
    <n v="314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1/2015-4"/>
    <x v="180"/>
    <x v="3"/>
    <m/>
    <d v="2015-12-03T00:00:00"/>
    <n v="1"/>
    <d v="2015-12-03T00:00:00"/>
    <x v="66"/>
    <s v="."/>
    <n v="314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0/2015-4"/>
    <x v="181"/>
    <x v="3"/>
    <m/>
    <d v="2015-12-03T00:00:00"/>
    <n v="1"/>
    <d v="2015-12-03T00:00:00"/>
    <x v="66"/>
    <s v="."/>
    <n v="314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27/2015-5"/>
    <x v="168"/>
    <x v="3"/>
    <m/>
    <d v="2015-12-02T00:00:00"/>
    <n v="1"/>
    <d v="2015-12-02T00:00:00"/>
    <x v="20"/>
    <s v="."/>
    <n v="212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330/2015-5"/>
    <x v="169"/>
    <x v="3"/>
    <m/>
    <d v="2015-12-02T00:00:00"/>
    <n v="1"/>
    <d v="2015-12-02T00:00:00"/>
    <x v="65"/>
    <s v="."/>
    <n v="100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B35/2015-2"/>
    <x v="182"/>
    <x v="3"/>
    <m/>
    <d v="2015-11-27T00:00:00"/>
    <n v="1"/>
    <d v="2015-11-27T00:00:00"/>
    <x v="67"/>
    <s v="100x152,4"/>
    <s v="1500szt"/>
    <s v="."/>
    <s v="."/>
    <s v="."/>
    <s v="."/>
    <s v="."/>
    <s v="."/>
    <s v="."/>
    <m/>
    <s v="TB"/>
    <m/>
    <s v="."/>
    <m/>
    <d v="2015-11-30T00:00:00"/>
    <x v="1"/>
    <s v="."/>
    <s v="."/>
    <s v="."/>
    <s v="."/>
    <s v="."/>
    <s v="."/>
    <s v="."/>
    <s v="."/>
    <x v="0"/>
    <x v="0"/>
    <x v="0"/>
  </r>
  <r>
    <s v="6337/2015-5"/>
    <x v="29"/>
    <x v="7"/>
    <m/>
    <d v="2015-11-27T00:00:00"/>
    <n v="1"/>
    <d v="2015-11-27T00:00:00"/>
    <x v="14"/>
    <s v="."/>
    <n v="304"/>
    <s v="."/>
    <s v="."/>
    <s v="."/>
    <s v="."/>
    <s v="."/>
    <s v="."/>
    <s v="."/>
    <m/>
    <s v="IP"/>
    <m/>
    <s v="."/>
    <m/>
    <d v="2015-12-02T00:00:00"/>
    <x v="1"/>
    <s v="częściowo, 300 szt"/>
    <s v="."/>
    <s v="."/>
    <s v="."/>
    <s v="."/>
    <s v="."/>
    <s v="."/>
    <s v="."/>
    <x v="0"/>
    <x v="0"/>
    <x v="0"/>
  </r>
  <r>
    <s v="6336/2015-3"/>
    <x v="114"/>
    <x v="3"/>
    <d v="2015-11-24T00:00:00"/>
    <d v="1900-01-07T00:00:00"/>
    <n v="1"/>
    <d v="2015-12-02T00:00:00"/>
    <x v="18"/>
    <s v="."/>
    <n v="30"/>
    <s v="."/>
    <s v="."/>
    <s v="."/>
    <s v="."/>
    <s v="."/>
    <s v="."/>
    <s v="."/>
    <m/>
    <s v="KC"/>
    <n v="0.08"/>
    <s v="Maciąg"/>
    <d v="2015-11-24T00:00:00"/>
    <m/>
    <x v="0"/>
    <s v="."/>
    <s v="."/>
    <s v="."/>
    <s v="."/>
    <s v="."/>
    <s v="."/>
    <s v="."/>
    <s v="."/>
    <x v="1"/>
    <x v="0"/>
    <x v="0"/>
  </r>
  <r>
    <s v="6335/2015-2"/>
    <x v="183"/>
    <x v="3"/>
    <m/>
    <d v="2015-12-02T00:00:00"/>
    <n v="1"/>
    <d v="2015-12-02T00:00:00"/>
    <x v="18"/>
    <s v="."/>
    <n v="198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34/2015-2"/>
    <x v="184"/>
    <x v="3"/>
    <m/>
    <d v="2015-12-02T00:00:00"/>
    <n v="1"/>
    <d v="2015-12-02T00:00:00"/>
    <x v="18"/>
    <s v="."/>
    <n v="132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12/2015-2"/>
    <x v="185"/>
    <x v="7"/>
    <m/>
    <d v="2015-12-07T00:00:00"/>
    <n v="1"/>
    <d v="2015-12-07T00:00:00"/>
    <x v="68"/>
    <s v="."/>
    <n v="1219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312/2015-3"/>
    <x v="185"/>
    <x v="3"/>
    <m/>
    <d v="2015-12-07T00:00:00"/>
    <n v="1"/>
    <d v="2015-12-07T00:00:00"/>
    <x v="68"/>
    <s v="."/>
    <n v="1219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310/2015-2"/>
    <x v="186"/>
    <x v="7"/>
    <m/>
    <d v="2015-12-08T00:00:00"/>
    <n v="1"/>
    <d v="2015-12-08T00:00:00"/>
    <x v="68"/>
    <s v="."/>
    <n v="1371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310/2015-3"/>
    <x v="186"/>
    <x v="3"/>
    <m/>
    <d v="2015-12-08T00:00:00"/>
    <n v="1"/>
    <d v="2015-12-08T00:00:00"/>
    <x v="68"/>
    <s v="."/>
    <n v="1371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323/2015-2"/>
    <x v="187"/>
    <x v="3"/>
    <m/>
    <d v="2015-11-30T00:00:00"/>
    <n v="1"/>
    <d v="2015-11-30T00:00:00"/>
    <x v="69"/>
    <s v="."/>
    <n v="412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337/2015-6"/>
    <x v="29"/>
    <x v="3"/>
    <m/>
    <d v="2015-11-27T00:00:00"/>
    <n v="1"/>
    <d v="2015-11-27T00:00:00"/>
    <x v="14"/>
    <s v="."/>
    <n v="304"/>
    <s v="."/>
    <s v="."/>
    <s v="."/>
    <s v="."/>
    <s v="."/>
    <s v="."/>
    <s v="."/>
    <m/>
    <s v="IP"/>
    <m/>
    <s v="."/>
    <m/>
    <d v="2015-12-02T00:00:00"/>
    <x v="1"/>
    <s v="częściowo, 300 szt"/>
    <s v="."/>
    <s v="."/>
    <s v="."/>
    <s v="."/>
    <s v="."/>
    <s v="."/>
    <s v="."/>
    <x v="0"/>
    <x v="0"/>
    <x v="0"/>
  </r>
  <r>
    <s v="6282/2015-4"/>
    <x v="17"/>
    <x v="7"/>
    <m/>
    <d v="2015-12-04T00:00:00"/>
    <n v="1"/>
    <d v="2015-12-04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do dokończenia"/>
    <s v="."/>
    <s v="."/>
    <s v="."/>
    <s v="."/>
    <s v="."/>
    <s v="."/>
    <s v="."/>
    <x v="1"/>
    <x v="0"/>
    <x v="0"/>
  </r>
  <r>
    <s v="6282/2015-5"/>
    <x v="17"/>
    <x v="3"/>
    <m/>
    <d v="2015-12-04T00:00:00"/>
    <n v="1"/>
    <d v="2015-12-04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do dokończenia"/>
    <s v="."/>
    <s v="."/>
    <s v="."/>
    <s v="."/>
    <s v="."/>
    <s v="."/>
    <s v="."/>
    <x v="1"/>
    <x v="0"/>
    <x v="0"/>
  </r>
  <r>
    <s v="6283/2015-4"/>
    <x v="139"/>
    <x v="7"/>
    <m/>
    <d v="2015-12-04T00:00:00"/>
    <n v="1"/>
    <d v="2015-12-04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do dokończenia"/>
    <s v="."/>
    <s v="."/>
    <s v="."/>
    <s v="."/>
    <s v="."/>
    <s v="."/>
    <s v="."/>
    <x v="1"/>
    <x v="0"/>
    <x v="0"/>
  </r>
  <r>
    <s v="6283/2015-5"/>
    <x v="139"/>
    <x v="3"/>
    <m/>
    <d v="2015-12-04T00:00:00"/>
    <n v="1"/>
    <d v="2015-12-04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do dokończenia"/>
    <s v="."/>
    <s v="."/>
    <s v="."/>
    <s v="."/>
    <s v="."/>
    <s v="."/>
    <s v="."/>
    <x v="1"/>
    <x v="0"/>
    <x v="0"/>
  </r>
  <r>
    <s v="6285/2015-5"/>
    <x v="97"/>
    <x v="7"/>
    <m/>
    <d v="2015-12-04T00:00:00"/>
    <n v="1"/>
    <d v="2015-12-04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do dokończenia"/>
    <s v="."/>
    <s v="."/>
    <s v="."/>
    <s v="."/>
    <s v="."/>
    <s v="."/>
    <s v="."/>
    <x v="1"/>
    <x v="0"/>
    <x v="0"/>
  </r>
  <r>
    <s v="6285/2015-6"/>
    <x v="97"/>
    <x v="3"/>
    <m/>
    <d v="2015-12-04T00:00:00"/>
    <n v="1"/>
    <d v="2015-12-04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do dokończenia"/>
    <s v="."/>
    <s v="."/>
    <s v="."/>
    <s v="."/>
    <s v="."/>
    <s v="."/>
    <s v="."/>
    <x v="1"/>
    <x v="0"/>
    <x v="0"/>
  </r>
  <r>
    <s v="6337/2015-5"/>
    <x v="29"/>
    <x v="7"/>
    <m/>
    <d v="2015-11-27T00:00:00"/>
    <n v="1"/>
    <d v="2015-11-27T00:00:00"/>
    <x v="14"/>
    <s v="."/>
    <n v="304"/>
    <s v="."/>
    <s v="."/>
    <s v="."/>
    <s v="."/>
    <s v="."/>
    <s v="."/>
    <s v="."/>
    <m/>
    <s v="IP"/>
    <m/>
    <s v="."/>
    <m/>
    <d v="2015-12-02T00:00:00"/>
    <x v="1"/>
    <s v="do dokończenia"/>
    <s v="."/>
    <s v="."/>
    <s v="."/>
    <s v="."/>
    <s v="."/>
    <s v="."/>
    <s v="."/>
    <x v="0"/>
    <x v="0"/>
    <x v="0"/>
  </r>
  <r>
    <s v="6337/2015-6"/>
    <x v="29"/>
    <x v="3"/>
    <m/>
    <d v="2015-11-27T00:00:00"/>
    <n v="1"/>
    <d v="2015-11-27T00:00:00"/>
    <x v="14"/>
    <s v="."/>
    <n v="304"/>
    <s v="."/>
    <s v="."/>
    <s v="."/>
    <s v="."/>
    <s v="."/>
    <s v="."/>
    <s v="."/>
    <m/>
    <s v="IP"/>
    <m/>
    <s v="."/>
    <m/>
    <d v="2015-12-02T00:00:00"/>
    <x v="1"/>
    <s v="do dokończenia"/>
    <s v="."/>
    <s v="."/>
    <s v="."/>
    <s v="."/>
    <s v="."/>
    <s v="."/>
    <s v="."/>
    <x v="0"/>
    <x v="0"/>
    <x v="0"/>
  </r>
  <r>
    <s v="6344/2015-3"/>
    <x v="188"/>
    <x v="7"/>
    <m/>
    <d v="2015-11-26T00:00:00"/>
    <n v="1"/>
    <d v="2015-11-26T00:00:00"/>
    <x v="11"/>
    <s v="reklamacja!"/>
    <n v="222"/>
    <s v="."/>
    <s v="."/>
    <s v="."/>
    <s v="."/>
    <s v="."/>
    <s v="."/>
    <s v="."/>
    <m/>
    <s v="KC"/>
    <m/>
    <s v="."/>
    <m/>
    <d v="2015-12-03T00:00:00"/>
    <x v="1"/>
    <s v="."/>
    <s v="."/>
    <s v="."/>
    <s v="."/>
    <s v="."/>
    <s v="."/>
    <s v="."/>
    <s v="."/>
    <x v="0"/>
    <x v="0"/>
    <x v="0"/>
  </r>
  <r>
    <s v="6344/2015-4"/>
    <x v="188"/>
    <x v="3"/>
    <m/>
    <d v="2015-11-26T00:00:00"/>
    <n v="1"/>
    <d v="2015-11-26T00:00:00"/>
    <x v="11"/>
    <s v="reklamacja!"/>
    <n v="222"/>
    <s v="."/>
    <s v="."/>
    <s v="."/>
    <s v="."/>
    <s v="."/>
    <s v="."/>
    <s v="."/>
    <m/>
    <s v="KC"/>
    <m/>
    <s v="."/>
    <m/>
    <d v="2015-12-03T00:00:00"/>
    <x v="1"/>
    <s v="."/>
    <s v="."/>
    <s v="."/>
    <s v="."/>
    <s v="."/>
    <s v="."/>
    <s v="."/>
    <s v="."/>
    <x v="0"/>
    <x v="0"/>
    <x v="0"/>
  </r>
  <r>
    <s v="6349/2015-4"/>
    <x v="189"/>
    <x v="3"/>
    <m/>
    <d v="2015-12-03T00:00:00"/>
    <n v="1"/>
    <d v="2015-12-03T00:00:00"/>
    <x v="70"/>
    <s v="."/>
    <n v="38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346/2015-3"/>
    <x v="190"/>
    <x v="7"/>
    <m/>
    <d v="2015-12-04T00:00:00"/>
    <n v="1"/>
    <d v="2015-12-04T00:00:00"/>
    <x v="8"/>
    <s v="."/>
    <n v="108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46/2015-4"/>
    <x v="190"/>
    <x v="3"/>
    <m/>
    <d v="2015-12-04T00:00:00"/>
    <n v="1"/>
    <d v="2015-12-04T00:00:00"/>
    <x v="8"/>
    <s v="."/>
    <n v="108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51/2015-2"/>
    <x v="191"/>
    <x v="3"/>
    <m/>
    <d v="2015-12-01T00:00:00"/>
    <n v="1"/>
    <d v="2015-12-01T00:00:00"/>
    <x v="71"/>
    <s v="."/>
    <n v="2743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43/2015-2"/>
    <x v="192"/>
    <x v="7"/>
    <m/>
    <d v="2016-01-08T00:00:00"/>
    <n v="1"/>
    <d v="2016-01-08T00:00:00"/>
    <x v="14"/>
    <s v="."/>
    <n v="571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2"/>
    <x v="0"/>
    <x v="0"/>
  </r>
  <r>
    <s v="6343/2015-3"/>
    <x v="192"/>
    <x v="3"/>
    <m/>
    <d v="2016-01-08T00:00:00"/>
    <n v="1"/>
    <d v="2016-01-08T00:00:00"/>
    <x v="14"/>
    <s v="."/>
    <n v="571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2"/>
    <x v="0"/>
    <x v="0"/>
  </r>
  <r>
    <s v="5142/2015-1"/>
    <x v="63"/>
    <x v="2"/>
    <d v="2015-11-23T00:00:00"/>
    <d v="1900-01-07T00:00:00"/>
    <n v="2"/>
    <d v="2015-12-01T00:00:00"/>
    <x v="27"/>
    <s v="."/>
    <n v="1966"/>
    <n v="2000"/>
    <n v="120"/>
    <s v="ok"/>
    <s v="."/>
    <s v="ok"/>
    <s v="Raflatac Vellum TTR RH9X HG65 330mm"/>
    <s v="10.11"/>
    <m/>
    <s v="KC"/>
    <n v="3.25"/>
    <s v="Olejczuk"/>
    <d v="2015-11-24T00:00:00"/>
    <m/>
    <x v="0"/>
    <s v="."/>
    <s v="."/>
    <s v="."/>
    <s v="."/>
    <s v="."/>
    <s v="."/>
    <s v="."/>
    <s v="."/>
    <x v="1"/>
    <x v="0"/>
    <x v="0"/>
  </r>
  <r>
    <s v="6298/2015-3"/>
    <x v="193"/>
    <x v="7"/>
    <m/>
    <d v="2015-12-01T00:00:00"/>
    <n v="1"/>
    <d v="2015-12-01T00:00:00"/>
    <x v="14"/>
    <s v="."/>
    <n v="26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298/2015-4"/>
    <x v="193"/>
    <x v="3"/>
    <m/>
    <d v="2015-12-01T00:00:00"/>
    <n v="1"/>
    <d v="2015-12-01T00:00:00"/>
    <x v="14"/>
    <s v="."/>
    <n v="26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350/2015-3"/>
    <x v="194"/>
    <x v="3"/>
    <m/>
    <d v="2015-12-03T00:00:00"/>
    <n v="1"/>
    <d v="2015-12-03T00:00:00"/>
    <x v="72"/>
    <s v="."/>
    <n v="405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345/2015-5"/>
    <x v="195"/>
    <x v="3"/>
    <m/>
    <d v="2015-12-04T00:00:00"/>
    <n v="1"/>
    <d v="2015-12-04T00:00:00"/>
    <x v="14"/>
    <s v="."/>
    <n v="13373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5141/2015-1"/>
    <x v="67"/>
    <x v="0"/>
    <d v="2015-11-23T00:00:00"/>
    <d v="1900-01-07T00:00:00"/>
    <n v="2"/>
    <d v="2015-12-01T00:00:00"/>
    <x v="27"/>
    <s v="."/>
    <n v="2110"/>
    <n v="2300"/>
    <n v="66"/>
    <s v="."/>
    <s v="ok"/>
    <s v="ok"/>
    <s v="Ritrama Vellum RH09 258mm"/>
    <s v="10.11"/>
    <m/>
    <s v="KC"/>
    <n v="2.17"/>
    <s v="Józefczyk"/>
    <d v="2015-11-24T00:00:00"/>
    <m/>
    <x v="0"/>
    <s v="."/>
    <s v="."/>
    <s v="."/>
    <s v="."/>
    <s v="."/>
    <s v="."/>
    <s v="."/>
    <s v="."/>
    <x v="1"/>
    <x v="0"/>
    <x v="0"/>
  </r>
  <r>
    <s v="6266/2015-2"/>
    <x v="170"/>
    <x v="3"/>
    <d v="2015-11-23T00:00:00"/>
    <d v="1900-01-02T00:00:00"/>
    <n v="1"/>
    <d v="2015-11-26T00:00:00"/>
    <x v="38"/>
    <s v="."/>
    <n v="449"/>
    <s v="."/>
    <s v="."/>
    <s v="."/>
    <s v="."/>
    <s v="."/>
    <s v="."/>
    <s v="."/>
    <m/>
    <s v="KC"/>
    <n v="0.17"/>
    <s v="Maciąg"/>
    <d v="2015-11-23T00:00:00"/>
    <m/>
    <x v="0"/>
    <s v="."/>
    <s v="."/>
    <s v="."/>
    <s v="."/>
    <s v="."/>
    <s v="."/>
    <s v="."/>
    <s v="."/>
    <x v="0"/>
    <x v="0"/>
    <x v="0"/>
  </r>
  <r>
    <s v="6348/2015-3"/>
    <x v="196"/>
    <x v="7"/>
    <m/>
    <d v="2015-12-04T00:00:00"/>
    <n v="1"/>
    <d v="2015-12-04T00:00:00"/>
    <x v="8"/>
    <s v="."/>
    <n v="249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48/2015-4"/>
    <x v="196"/>
    <x v="3"/>
    <m/>
    <d v="2015-12-04T00:00:00"/>
    <n v="1"/>
    <d v="2015-12-04T00:00:00"/>
    <x v="8"/>
    <s v="."/>
    <n v="249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47/2015-3"/>
    <x v="197"/>
    <x v="7"/>
    <m/>
    <d v="2015-12-04T00:00:00"/>
    <n v="1"/>
    <d v="2015-12-04T00:00:00"/>
    <x v="8"/>
    <s v="."/>
    <n v="304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47/2015-4"/>
    <x v="197"/>
    <x v="3"/>
    <m/>
    <d v="2015-12-04T00:00:00"/>
    <n v="1"/>
    <d v="2015-12-04T00:00:00"/>
    <x v="8"/>
    <s v="."/>
    <n v="304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25/2015-2"/>
    <x v="198"/>
    <x v="3"/>
    <m/>
    <d v="2015-11-30T00:00:00"/>
    <n v="1"/>
    <d v="2015-11-30T00:00:00"/>
    <x v="69"/>
    <s v="."/>
    <n v="4127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339/2015-2"/>
    <x v="199"/>
    <x v="3"/>
    <m/>
    <d v="2015-11-30T00:00:00"/>
    <n v="1"/>
    <d v="2015-11-30T00:00:00"/>
    <x v="69"/>
    <s v="."/>
    <n v="551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340/2015-2"/>
    <x v="200"/>
    <x v="3"/>
    <m/>
    <d v="2015-12-07T00:00:00"/>
    <n v="1"/>
    <d v="2015-12-07T00:00:00"/>
    <x v="73"/>
    <s v="."/>
    <n v="1190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324/2015-2"/>
    <x v="201"/>
    <x v="3"/>
    <m/>
    <d v="2015-11-30T00:00:00"/>
    <n v="1"/>
    <d v="2015-11-30T00:00:00"/>
    <x v="69"/>
    <s v="."/>
    <n v="1889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326/2015-2"/>
    <x v="202"/>
    <x v="3"/>
    <m/>
    <d v="2015-11-30T00:00:00"/>
    <n v="1"/>
    <d v="2015-11-30T00:00:00"/>
    <x v="69"/>
    <s v="."/>
    <n v="1632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231/2015-2"/>
    <x v="47"/>
    <x v="7"/>
    <m/>
    <d v="2015-12-01T00:00:00"/>
    <n v="1"/>
    <d v="2015-12-01T00:00:00"/>
    <x v="14"/>
    <s v="."/>
    <n v="2381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231/2015-3"/>
    <x v="47"/>
    <x v="3"/>
    <m/>
    <d v="2015-12-01T00:00:00"/>
    <n v="1"/>
    <d v="2015-12-01T00:00:00"/>
    <x v="14"/>
    <s v="."/>
    <n v="2381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356/2015-5"/>
    <x v="166"/>
    <x v="3"/>
    <m/>
    <d v="2015-11-26T00:00:00"/>
    <n v="1"/>
    <d v="2015-11-26T00:00:00"/>
    <x v="56"/>
    <s v="."/>
    <n v="38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0"/>
    <x v="0"/>
    <x v="0"/>
  </r>
  <r>
    <s v="6354/2015-1"/>
    <x v="203"/>
    <x v="7"/>
    <m/>
    <d v="2015-12-03T00:00:00"/>
    <n v="1"/>
    <d v="2015-12-03T00:00:00"/>
    <x v="12"/>
    <s v="."/>
    <n v="38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54/2015-1"/>
    <x v="203"/>
    <x v="3"/>
    <m/>
    <d v="2015-12-03T00:00:00"/>
    <n v="1"/>
    <d v="2015-12-03T00:00:00"/>
    <x v="12"/>
    <s v="."/>
    <n v="38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59/2015-3"/>
    <x v="204"/>
    <x v="7"/>
    <m/>
    <d v="2015-12-03T00:00:00"/>
    <n v="1"/>
    <d v="2015-12-03T00:00:00"/>
    <x v="12"/>
    <s v="."/>
    <n v="476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59/2015-4"/>
    <x v="204"/>
    <x v="3"/>
    <m/>
    <d v="2015-12-03T00:00:00"/>
    <n v="1"/>
    <d v="2015-12-03T00:00:00"/>
    <x v="12"/>
    <s v="."/>
    <n v="476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164/2015-3"/>
    <x v="205"/>
    <x v="3"/>
    <m/>
    <d v="2015-12-07T00:00:00"/>
    <n v="1"/>
    <d v="2015-12-07T00:00:00"/>
    <x v="5"/>
    <s v="."/>
    <n v="1218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5894/2015-3"/>
    <x v="206"/>
    <x v="3"/>
    <m/>
    <d v="2015-12-14T00:00:00"/>
    <n v="1"/>
    <d v="2015-12-14T00:00:00"/>
    <x v="38"/>
    <s v="."/>
    <n v="340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039/2015-3"/>
    <x v="207"/>
    <x v="3"/>
    <m/>
    <d v="2015-12-14T00:00:00"/>
    <n v="1"/>
    <d v="2015-12-14T00:00:00"/>
    <x v="38"/>
    <s v="."/>
    <n v="250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52/2015-2"/>
    <x v="208"/>
    <x v="7"/>
    <m/>
    <d v="2015-12-03T00:00:00"/>
    <n v="1"/>
    <d v="2015-12-03T00:00:00"/>
    <x v="74"/>
    <s v="."/>
    <n v="1651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52/2015-3"/>
    <x v="208"/>
    <x v="3"/>
    <m/>
    <d v="2015-12-03T00:00:00"/>
    <n v="1"/>
    <d v="2015-12-03T00:00:00"/>
    <x v="74"/>
    <s v="."/>
    <n v="1651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62/2015-2"/>
    <x v="209"/>
    <x v="7"/>
    <m/>
    <d v="2015-12-03T00:00:00"/>
    <n v="1"/>
    <d v="2015-12-03T00:00:00"/>
    <x v="12"/>
    <s v="."/>
    <n v="1524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62/2015-3"/>
    <x v="209"/>
    <x v="3"/>
    <m/>
    <d v="2015-12-03T00:00:00"/>
    <n v="1"/>
    <d v="2015-12-03T00:00:00"/>
    <x v="12"/>
    <s v="."/>
    <n v="1524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57/2015-4"/>
    <x v="210"/>
    <x v="7"/>
    <m/>
    <d v="2015-12-03T00:00:00"/>
    <n v="1"/>
    <d v="2015-12-03T00:00:00"/>
    <x v="12"/>
    <s v="."/>
    <n v="122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57/2015-5"/>
    <x v="210"/>
    <x v="3"/>
    <m/>
    <d v="2015-12-03T00:00:00"/>
    <n v="1"/>
    <d v="2015-12-03T00:00:00"/>
    <x v="12"/>
    <s v="."/>
    <n v="122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55/2015-4"/>
    <x v="211"/>
    <x v="7"/>
    <m/>
    <d v="2015-12-03T00:00:00"/>
    <n v="1"/>
    <d v="2015-12-03T00:00:00"/>
    <x v="12"/>
    <s v="."/>
    <n v="119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55/2015-5"/>
    <x v="211"/>
    <x v="3"/>
    <m/>
    <d v="2015-12-03T00:00:00"/>
    <n v="1"/>
    <d v="2015-12-03T00:00:00"/>
    <x v="12"/>
    <s v="."/>
    <n v="119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02/2015-1"/>
    <x v="76"/>
    <x v="1"/>
    <d v="2015-11-24T00:00:00"/>
    <d v="1900-01-01T00:00:00"/>
    <n v="1"/>
    <d v="2015-11-26T00:00:00"/>
    <x v="12"/>
    <s v="."/>
    <n v="13"/>
    <n v="200"/>
    <n v="85"/>
    <s v="."/>
    <s v="ok"/>
    <s v="ok"/>
    <s v="Ritrama Triplex coated AP904 2X GL60 166mm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167/2015-3"/>
    <x v="30"/>
    <x v="9"/>
    <m/>
    <d v="2015-11-26T00:00:00"/>
    <n v="2"/>
    <d v="2015-11-26T00:00:00"/>
    <x v="8"/>
    <s v="."/>
    <n v="15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225/2015-1"/>
    <x v="94"/>
    <x v="2"/>
    <d v="2015-11-23T00:00:00"/>
    <d v="1900-01-03T00:00:00"/>
    <n v="1"/>
    <d v="2015-11-27T00:00:00"/>
    <x v="42"/>
    <s v="."/>
    <n v="1219"/>
    <n v="1500"/>
    <n v="96"/>
    <s v="ok"/>
    <s v="ok"/>
    <s v="ok"/>
    <s v="Raflatac Data RP51 HG85 200mm"/>
    <s v="rano poproszę"/>
    <m/>
    <s v="IP"/>
    <n v="3"/>
    <s v="Juszczak"/>
    <d v="2015-11-24T00:00:00"/>
    <m/>
    <x v="0"/>
    <s v="."/>
    <s v="."/>
    <n v="730"/>
    <s v="."/>
    <s v="."/>
    <s v="."/>
    <s v="."/>
    <s v="."/>
    <x v="0"/>
    <x v="0"/>
    <x v="0"/>
  </r>
  <r>
    <s v="A718/2015-2"/>
    <x v="212"/>
    <x v="13"/>
    <m/>
    <d v="2015-11-26T00:00:00"/>
    <n v="1"/>
    <d v="2015-11-26T00:00:00"/>
    <x v="19"/>
    <s v="10x83 10 kursów"/>
    <n v="4500"/>
    <s v="."/>
    <s v="."/>
    <s v="."/>
    <s v="."/>
    <s v="TTR111"/>
    <s v="."/>
    <s v="."/>
    <m/>
    <s v="MŁ"/>
    <m/>
    <s v="."/>
    <m/>
    <m/>
    <x v="1"/>
    <s v="."/>
    <s v="."/>
    <s v="."/>
    <s v="."/>
    <s v="."/>
    <s v="."/>
    <s v="."/>
    <s v="."/>
    <x v="0"/>
    <x v="0"/>
    <x v="0"/>
  </r>
  <r>
    <s v="A726/2015-1"/>
    <x v="213"/>
    <x v="17"/>
    <m/>
    <d v="2015-11-27T00:00:00"/>
    <n v="2"/>
    <d v="2015-11-27T00:00:00"/>
    <x v="75"/>
    <s v="8x104 2 kursy"/>
    <n v="600"/>
    <s v="."/>
    <s v="."/>
    <s v="."/>
    <s v="."/>
    <s v="TTR302"/>
    <s v="."/>
    <s v="."/>
    <m/>
    <s v="IP"/>
    <n v="2"/>
    <s v="Krukar"/>
    <d v="2015-11-24T00:00:00"/>
    <m/>
    <x v="0"/>
    <s v="."/>
    <s v="."/>
    <s v="."/>
    <s v="."/>
    <s v="."/>
    <s v="."/>
    <s v="."/>
    <s v="."/>
    <x v="0"/>
    <x v="0"/>
    <x v="0"/>
  </r>
  <r>
    <s v="6219/2015-1"/>
    <x v="102"/>
    <x v="8"/>
    <d v="2015-11-24T00:00:00"/>
    <d v="1900-01-02T00:00:00"/>
    <n v="1"/>
    <d v="2015-11-27T00:00:00"/>
    <x v="3"/>
    <s v="."/>
    <n v="11176"/>
    <n v="11500"/>
    <n v="128"/>
    <s v="."/>
    <s v="ok"/>
    <s v="ok"/>
    <s v="Raflatac Raflacoat RH9X 340mm"/>
    <s v="500mb jest, 11000mb 23.11"/>
    <m/>
    <s v="MŁ"/>
    <m/>
    <s v="Kosma"/>
    <d v="2015-11-24T00:00:00"/>
    <m/>
    <x v="1"/>
    <s v="."/>
    <s v="."/>
    <n v="1040"/>
    <s v="."/>
    <s v="."/>
    <s v="."/>
    <s v="."/>
    <s v="."/>
    <x v="0"/>
    <x v="0"/>
    <x v="0"/>
  </r>
  <r>
    <s v="6239/2015-2"/>
    <x v="108"/>
    <x v="2"/>
    <m/>
    <d v="2015-11-30T00:00:00"/>
    <n v="1"/>
    <d v="2015-11-30T00:00:00"/>
    <x v="20"/>
    <s v="."/>
    <n v="106"/>
    <s v="."/>
    <s v="."/>
    <s v="."/>
    <s v="."/>
    <s v="."/>
    <s v="."/>
    <s v="."/>
    <m/>
    <s v="IP"/>
    <m/>
    <s v="Juszczak"/>
    <d v="2015-11-25T00:00:00"/>
    <m/>
    <x v="1"/>
    <s v="taśma papierowa 24.11"/>
    <s v="."/>
    <s v="."/>
    <s v="."/>
    <s v="."/>
    <s v="."/>
    <s v="."/>
    <s v="."/>
    <x v="0"/>
    <x v="0"/>
    <x v="0"/>
  </r>
  <r>
    <s v="6344/2015-1"/>
    <x v="188"/>
    <x v="6"/>
    <d v="2015-11-25T00:00:00"/>
    <d v="1899-12-31T00:00:00"/>
    <n v="4"/>
    <d v="2015-11-26T00:00:00"/>
    <x v="11"/>
    <s v="reklamacja!"/>
    <n v="222"/>
    <n v="600"/>
    <n v="96"/>
    <s v="ok"/>
    <s v="ok"/>
    <s v="do wywołania"/>
    <s v="Avery PET Transfer white PT S 8020 250mm"/>
    <s v="rano poproszę"/>
    <m/>
    <s v="KC"/>
    <m/>
    <s v="."/>
    <m/>
    <d v="2015-12-03T00:00:00"/>
    <x v="1"/>
    <s v="."/>
    <s v="."/>
    <s v="."/>
    <s v="."/>
    <s v="."/>
    <s v="."/>
    <s v="."/>
    <s v="."/>
    <x v="0"/>
    <x v="0"/>
    <x v="0"/>
  </r>
  <r>
    <s v="6225/2015-2"/>
    <x v="94"/>
    <x v="18"/>
    <m/>
    <d v="2015-11-27T00:00:00"/>
    <n v="2"/>
    <d v="2015-11-27T00:00:00"/>
    <x v="42"/>
    <s v="."/>
    <n v="1219"/>
    <s v="."/>
    <s v="."/>
    <s v="."/>
    <s v="."/>
    <s v="."/>
    <s v="."/>
    <s v="."/>
    <m/>
    <s v="IP"/>
    <m/>
    <s v="Śliwińska A."/>
    <d v="2015-11-25T00:00:00"/>
    <m/>
    <x v="1"/>
    <s v="."/>
    <s v="."/>
    <n v="700"/>
    <s v="."/>
    <s v="."/>
    <s v="."/>
    <s v="."/>
    <s v="."/>
    <x v="0"/>
    <x v="0"/>
    <x v="0"/>
  </r>
  <r>
    <s v="B33/2015-1"/>
    <x v="119"/>
    <x v="15"/>
    <m/>
    <d v="2015-11-25T00:00:00"/>
    <n v="1"/>
    <d v="2015-11-25T00:00:00"/>
    <x v="49"/>
    <s v="60x80"/>
    <s v="11300szt"/>
    <s v="."/>
    <s v="."/>
    <s v="."/>
    <s v="."/>
    <s v="."/>
    <s v="."/>
    <s v="."/>
    <m/>
    <s v="MŁ"/>
    <n v="4.5"/>
    <s v="Markowski"/>
    <d v="2015-11-24T00:00:00"/>
    <d v="2015-11-26T00:00:00"/>
    <x v="1"/>
    <s v="."/>
    <s v="."/>
    <s v="."/>
    <s v="."/>
    <s v="."/>
    <s v="."/>
    <s v="."/>
    <s v="."/>
    <x v="0"/>
    <x v="0"/>
    <x v="0"/>
  </r>
  <r>
    <s v="4746/2015-2"/>
    <x v="28"/>
    <x v="12"/>
    <d v="2015-11-24T00:00:00"/>
    <d v="1900-01-05T00:00:00"/>
    <n v="1"/>
    <d v="2015-11-30T00:00:00"/>
    <x v="19"/>
    <s v="."/>
    <n v="13758"/>
    <s v="."/>
    <s v="."/>
    <s v="."/>
    <s v="."/>
    <s v="."/>
    <s v="."/>
    <s v="."/>
    <m/>
    <s v="MŁ"/>
    <n v="12.33"/>
    <s v="Mucha M./Grześkowiak"/>
    <d v="2015-11-24T00:00:00"/>
    <m/>
    <x v="0"/>
    <s v="."/>
    <s v="."/>
    <s v="."/>
    <s v="."/>
    <s v="."/>
    <s v="."/>
    <s v="."/>
    <s v="."/>
    <x v="0"/>
    <x v="0"/>
    <x v="0"/>
  </r>
  <r>
    <s v="6289/2015-4"/>
    <x v="161"/>
    <x v="11"/>
    <m/>
    <d v="2015-12-09T00:00:00"/>
    <n v="2"/>
    <d v="2015-12-09T00:00:00"/>
    <x v="1"/>
    <s v="."/>
    <n v="1100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45/2015-3"/>
    <x v="195"/>
    <x v="10"/>
    <m/>
    <d v="2015-12-04T00:00:00"/>
    <n v="2"/>
    <d v="2015-12-04T00:00:00"/>
    <x v="14"/>
    <s v="."/>
    <n v="13373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223/2015-2"/>
    <x v="13"/>
    <x v="1"/>
    <m/>
    <d v="2015-11-25T00:00:00"/>
    <n v="2"/>
    <d v="2015-11-25T00:00:00"/>
    <x v="10"/>
    <s v="."/>
    <n v="26"/>
    <s v="."/>
    <s v="."/>
    <s v="."/>
    <s v="."/>
    <s v="."/>
    <s v="."/>
    <s v="."/>
    <m/>
    <s v="KC"/>
    <n v="0.42"/>
    <s v="Pawlik"/>
    <d v="2015-11-24T00:00:00"/>
    <d v="2015-11-26T00:00:00"/>
    <x v="0"/>
    <s v="."/>
    <s v="."/>
    <s v="."/>
    <s v="."/>
    <s v="."/>
    <s v="."/>
    <s v="."/>
    <s v="."/>
    <x v="0"/>
    <x v="0"/>
    <x v="0"/>
  </r>
  <r>
    <s v="6202/2015-2"/>
    <x v="76"/>
    <x v="9"/>
    <m/>
    <d v="2015-11-26T00:00:00"/>
    <n v="3"/>
    <d v="2015-11-26T00:00:00"/>
    <x v="12"/>
    <s v="."/>
    <n v="13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A719/2015-2"/>
    <x v="92"/>
    <x v="13"/>
    <m/>
    <d v="2015-11-26T00:00:00"/>
    <n v="2"/>
    <d v="2015-11-26T00:00:00"/>
    <x v="12"/>
    <s v="8x110 16 kursów"/>
    <n v="7200"/>
    <s v="."/>
    <s v="."/>
    <s v="."/>
    <s v="."/>
    <s v="TTR302"/>
    <s v=".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186/2015-1"/>
    <x v="71"/>
    <x v="5"/>
    <d v="2015-11-24T00:00:00"/>
    <d v="1900-01-06T00:00:00"/>
    <n v="1"/>
    <d v="2015-12-01T00:00:00"/>
    <x v="35"/>
    <s v="."/>
    <n v="1143"/>
    <n v="950"/>
    <n v="90"/>
    <s v="."/>
    <s v="ok"/>
    <s v="ok"/>
    <s v="Ritrama RI 757/60 PP WH TC AP901 278mm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186/2015-1"/>
    <x v="71"/>
    <x v="5"/>
    <d v="2015-11-24T00:00:00"/>
    <d v="1900-01-06T00:00:00"/>
    <n v="1"/>
    <d v="2015-12-01T00:00:00"/>
    <x v="35"/>
    <s v="."/>
    <n v="1143"/>
    <n v="400"/>
    <n v="90"/>
    <s v="."/>
    <s v="ok"/>
    <s v="ok"/>
    <s v="Ritrama RI 757/60 PP WH TC AP901 309mm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288/2015-1"/>
    <x v="141"/>
    <x v="2"/>
    <d v="2015-11-23T00:00:00"/>
    <d v="1900-01-07T00:00:00"/>
    <n v="4"/>
    <d v="2015-12-01T00:00:00"/>
    <x v="1"/>
    <s v="."/>
    <n v="1063"/>
    <n v="1400"/>
    <n v="134"/>
    <s v="ok"/>
    <s v="ok"/>
    <s v="ok"/>
    <s v="Raflatac Transfer board 170 RP51 218mm"/>
    <s v="."/>
    <m/>
    <s v="TB"/>
    <n v="3"/>
    <s v="Olejczuk/Juszczak"/>
    <d v="2015-11-24T00:00:00"/>
    <m/>
    <x v="0"/>
    <s v="."/>
    <s v="."/>
    <s v="."/>
    <s v="."/>
    <s v="."/>
    <s v="."/>
    <s v="."/>
    <s v="."/>
    <x v="1"/>
    <x v="0"/>
    <x v="0"/>
  </r>
  <r>
    <s v="5917/2015-1"/>
    <x v="51"/>
    <x v="4"/>
    <m/>
    <d v="2015-12-01T00:00:00"/>
    <n v="3"/>
    <d v="2015-12-01T00:00:00"/>
    <x v="27"/>
    <s v="."/>
    <n v="63"/>
    <n v="300"/>
    <n v="80"/>
    <s v="ok"/>
    <s v="ok"/>
    <s v="ok"/>
    <s v="bazowe"/>
    <s v="."/>
    <m/>
    <s v="KC"/>
    <n v="0.75"/>
    <s v="Placek"/>
    <d v="2015-11-24T00:00:00"/>
    <m/>
    <x v="0"/>
    <s v="."/>
    <s v="."/>
    <s v="."/>
    <s v="."/>
    <s v="."/>
    <s v="."/>
    <s v="."/>
    <s v="."/>
    <x v="1"/>
    <x v="0"/>
    <x v="0"/>
  </r>
  <r>
    <s v="6240/2015-2"/>
    <x v="109"/>
    <x v="2"/>
    <m/>
    <d v="2015-11-30T00:00:00"/>
    <n v="2"/>
    <d v="2015-11-30T00:00:00"/>
    <x v="20"/>
    <s v="."/>
    <n v="340"/>
    <s v="."/>
    <s v="."/>
    <s v="."/>
    <s v="."/>
    <s v="."/>
    <s v="."/>
    <s v="."/>
    <m/>
    <s v="IP"/>
    <m/>
    <s v="Juszczak"/>
    <d v="2015-11-25T00:00:00"/>
    <m/>
    <x v="1"/>
    <s v="taśma papierowa 24.11"/>
    <s v="."/>
    <s v="."/>
    <s v="."/>
    <s v="."/>
    <s v="."/>
    <s v="."/>
    <s v="."/>
    <x v="0"/>
    <x v="0"/>
    <x v="0"/>
  </r>
  <r>
    <s v="6337/2015-3"/>
    <x v="29"/>
    <x v="18"/>
    <m/>
    <d v="2015-11-27T00:00:00"/>
    <n v="3"/>
    <d v="2015-11-27T00:00:00"/>
    <x v="14"/>
    <s v="."/>
    <n v="304"/>
    <s v="."/>
    <s v="."/>
    <s v="."/>
    <s v="."/>
    <s v="."/>
    <s v="."/>
    <s v="."/>
    <m/>
    <s v="IP"/>
    <m/>
    <s v="."/>
    <m/>
    <d v="2015-12-02T00:00:00"/>
    <x v="1"/>
    <s v="."/>
    <s v="."/>
    <s v="."/>
    <s v="."/>
    <s v="."/>
    <s v="."/>
    <s v="."/>
    <s v="."/>
    <x v="0"/>
    <x v="0"/>
    <x v="0"/>
  </r>
  <r>
    <s v="A732/2015-1"/>
    <x v="214"/>
    <x v="17"/>
    <m/>
    <d v="2015-12-01T00:00:00"/>
    <n v="3"/>
    <d v="2015-12-01T00:00:00"/>
    <x v="63"/>
    <s v="5x155 1 kurs"/>
    <n v="300"/>
    <s v="."/>
    <s v="."/>
    <s v="."/>
    <s v="."/>
    <s v="TTR302"/>
    <s v="."/>
    <s v="."/>
    <m/>
    <s v="MŁ"/>
    <n v="0.57999999999999996"/>
    <s v="Krukar"/>
    <d v="2015-11-24T00:00:00"/>
    <m/>
    <x v="0"/>
    <s v="."/>
    <s v="."/>
    <s v="."/>
    <s v="."/>
    <s v="."/>
    <s v="."/>
    <s v="."/>
    <s v="."/>
    <x v="1"/>
    <x v="0"/>
    <x v="0"/>
  </r>
  <r>
    <s v="brak"/>
    <x v="215"/>
    <x v="15"/>
    <m/>
    <d v="2015-11-25T00:00:00"/>
    <n v="2"/>
    <d v="2015-11-25T00:00:00"/>
    <x v="14"/>
    <s v="naprawa drukarek"/>
    <s v=".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311/2015-1"/>
    <x v="216"/>
    <x v="12"/>
    <d v="2015-11-24T00:00:00"/>
    <d v="1900-01-02T00:00:00"/>
    <n v="2"/>
    <d v="2015-11-27T00:00:00"/>
    <x v="72"/>
    <s v="próbka"/>
    <n v="53"/>
    <n v="100"/>
    <n v="135"/>
    <s v="."/>
    <s v="ok"/>
    <s v="ok"/>
    <s v="Raflatac Raflacoat RP51 320mm"/>
    <s v="."/>
    <m/>
    <s v="MŁ"/>
    <m/>
    <s v="Grześkowiak"/>
    <d v="2015-11-25T00:00:00"/>
    <m/>
    <x v="1"/>
    <s v="."/>
    <s v="."/>
    <n v="920"/>
    <s v="."/>
    <s v="."/>
    <s v="."/>
    <s v="."/>
    <s v="."/>
    <x v="0"/>
    <x v="0"/>
    <x v="0"/>
  </r>
  <r>
    <s v="6331/2015-1"/>
    <x v="167"/>
    <x v="0"/>
    <d v="2015-11-24T00:00:00"/>
    <d v="1900-01-05T00:00:00"/>
    <n v="3"/>
    <d v="2015-11-30T00:00:00"/>
    <x v="17"/>
    <s v="."/>
    <n v="38"/>
    <n v="200"/>
    <n v="72"/>
    <s v="."/>
    <s v="ok"/>
    <s v="ok"/>
    <s v="Avery PET transfer WH TOP S8001 123mm"/>
    <s v="."/>
    <m/>
    <s v="DG"/>
    <n v="0.75"/>
    <s v="Józefczyk"/>
    <d v="2015-11-24T00:00:00"/>
    <m/>
    <x v="0"/>
    <s v="."/>
    <s v="."/>
    <s v="."/>
    <s v="."/>
    <s v="."/>
    <s v="."/>
    <s v="."/>
    <s v="."/>
    <x v="0"/>
    <x v="0"/>
    <x v="0"/>
  </r>
  <r>
    <s v="6291/2015-4"/>
    <x v="26"/>
    <x v="11"/>
    <m/>
    <d v="2015-12-09T00:00:00"/>
    <n v="3"/>
    <d v="2015-12-09T00:00:00"/>
    <x v="1"/>
    <s v="."/>
    <n v="275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200/2015-1"/>
    <x v="77"/>
    <x v="1"/>
    <d v="2015-11-24T00:00:00"/>
    <d v="1900-01-01T00:00:00"/>
    <n v="2"/>
    <d v="2015-11-26T00:00:00"/>
    <x v="12"/>
    <s v="."/>
    <n v="357"/>
    <n v="150"/>
    <n v="90"/>
    <s v="."/>
    <s v="ok"/>
    <s v="ok"/>
    <s v="Avery PET Transfer WH TOP S8001 190mm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200/2015-2"/>
    <x v="77"/>
    <x v="9"/>
    <m/>
    <d v="2015-11-26T00:00:00"/>
    <n v="4"/>
    <d v="2015-11-26T00:00:00"/>
    <x v="12"/>
    <s v="."/>
    <n v="357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217/2015-1"/>
    <x v="71"/>
    <x v="5"/>
    <d v="2015-11-24T00:00:00"/>
    <d v="1900-01-06T00:00:00"/>
    <n v="2"/>
    <d v="2015-12-01T00:00:00"/>
    <x v="35"/>
    <s v="."/>
    <n v="252"/>
    <n v="350"/>
    <n v="90"/>
    <s v="."/>
    <s v="ok"/>
    <s v="ok"/>
    <s v="Ritrama RI 757/60 PP WH TC AP901 196mm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A727/2015-2"/>
    <x v="217"/>
    <x v="13"/>
    <m/>
    <d v="2015-11-26T00:00:00"/>
    <n v="3"/>
    <d v="2015-11-26T00:00:00"/>
    <x v="31"/>
    <s v="16x56 1 kurs"/>
    <n v="300"/>
    <s v="."/>
    <s v="."/>
    <s v="."/>
    <s v="."/>
    <s v="TTR131"/>
    <s v="."/>
    <s v="."/>
    <m/>
    <s v="MŁ"/>
    <m/>
    <s v="."/>
    <m/>
    <m/>
    <x v="1"/>
    <s v="."/>
    <s v="."/>
    <s v="."/>
    <s v="."/>
    <s v="."/>
    <s v="."/>
    <s v="."/>
    <s v="."/>
    <x v="0"/>
    <x v="0"/>
    <x v="0"/>
  </r>
  <r>
    <s v="6241/2015-2"/>
    <x v="115"/>
    <x v="2"/>
    <m/>
    <d v="2015-12-01T00:00:00"/>
    <n v="3"/>
    <d v="2015-12-01T00:00:00"/>
    <x v="20"/>
    <s v="."/>
    <n v="627"/>
    <s v="."/>
    <s v="."/>
    <s v="."/>
    <s v="."/>
    <s v="."/>
    <s v="."/>
    <s v="."/>
    <m/>
    <s v="IP"/>
    <m/>
    <s v="Juszczak"/>
    <d v="2015-11-25T00:00:00"/>
    <m/>
    <x v="1"/>
    <s v="taśma papierowa 24.11"/>
    <s v="."/>
    <s v="."/>
    <s v="."/>
    <s v="."/>
    <s v="."/>
    <s v="."/>
    <s v="."/>
    <x v="1"/>
    <x v="0"/>
    <x v="0"/>
  </r>
  <r>
    <s v="6327/2015-2"/>
    <x v="168"/>
    <x v="2"/>
    <m/>
    <d v="2015-12-02T00:00:00"/>
    <n v="4"/>
    <d v="2015-12-02T00:00:00"/>
    <x v="20"/>
    <s v="."/>
    <n v="212"/>
    <s v="."/>
    <s v="."/>
    <s v="."/>
    <s v="."/>
    <s v="."/>
    <s v="."/>
    <s v="."/>
    <m/>
    <s v="IP"/>
    <m/>
    <s v="Juszczak"/>
    <d v="2015-11-25T00:00:00"/>
    <m/>
    <x v="1"/>
    <s v="taśma papierowa 24.11"/>
    <s v="."/>
    <s v="."/>
    <s v="."/>
    <s v="."/>
    <s v="."/>
    <s v="."/>
    <s v="."/>
    <x v="1"/>
    <x v="0"/>
    <x v="0"/>
  </r>
  <r>
    <s v="6285/2015-3"/>
    <x v="97"/>
    <x v="18"/>
    <m/>
    <d v="2015-11-27T00:00:00"/>
    <n v="4"/>
    <d v="2015-11-27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."/>
    <s v="."/>
    <s v="."/>
    <s v="."/>
    <s v="."/>
    <s v="."/>
    <s v="."/>
    <s v="."/>
    <x v="0"/>
    <x v="0"/>
    <x v="0"/>
  </r>
  <r>
    <s v="6269/2015-1"/>
    <x v="123"/>
    <x v="12"/>
    <d v="2015-11-24T00:00:00"/>
    <d v="1900-01-07T00:00:00"/>
    <n v="3"/>
    <d v="2015-12-02T00:00:00"/>
    <x v="50"/>
    <s v="."/>
    <n v="894"/>
    <n v="1100"/>
    <n v="124"/>
    <s v="."/>
    <s v="ok"/>
    <s v="ok"/>
    <s v="Raflatac PP white TC 60 RP37 314mm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83/2015-1"/>
    <x v="139"/>
    <x v="4"/>
    <d v="2015-11-24T00:00:00"/>
    <d v="1900-01-09T00:00:00"/>
    <n v="6"/>
    <d v="2015-12-04T00:00:00"/>
    <x v="14"/>
    <s v="."/>
    <n v="304"/>
    <n v="500"/>
    <n v="96"/>
    <s v="ok"/>
    <s v="ok"/>
    <s v="ok"/>
    <s v="Avery Synthetic paper 160 XS 166mm"/>
    <s v="rano poproszę"/>
    <m/>
    <s v="IP"/>
    <n v="0.5"/>
    <s v="Mucha Ł."/>
    <d v="2015-11-24T00:00:00"/>
    <d v="2015-12-01T00:00:00"/>
    <x v="0"/>
    <s v="."/>
    <s v="."/>
    <s v="."/>
    <s v="."/>
    <s v="."/>
    <s v="."/>
    <s v="."/>
    <s v="."/>
    <x v="1"/>
    <x v="0"/>
    <x v="0"/>
  </r>
  <r>
    <s v="6315/2015-1"/>
    <x v="171"/>
    <x v="0"/>
    <d v="2015-11-24T00:00:00"/>
    <d v="1900-01-06T00:00:00"/>
    <n v="1"/>
    <d v="2015-12-01T00:00:00"/>
    <x v="14"/>
    <s v="."/>
    <n v="79"/>
    <n v="200"/>
    <n v="67"/>
    <s v="."/>
    <s v="ok"/>
    <s v="ok"/>
    <s v="Avery Primecoat S2000N 250mm"/>
    <s v="."/>
    <m/>
    <s v="IP"/>
    <n v="0.83"/>
    <s v="Kozłowski"/>
    <d v="2015-11-24T00:00:00"/>
    <m/>
    <x v="0"/>
    <s v="."/>
    <s v="."/>
    <s v="."/>
    <s v="."/>
    <s v="."/>
    <s v="."/>
    <s v="."/>
    <s v="."/>
    <x v="1"/>
    <x v="0"/>
    <x v="0"/>
  </r>
  <r>
    <s v="A718/2015-1"/>
    <x v="212"/>
    <x v="17"/>
    <m/>
    <d v="2015-11-26T00:00:00"/>
    <n v="1"/>
    <d v="2015-11-26T00:00:00"/>
    <x v="19"/>
    <s v="10x83 10 kursów"/>
    <n v="4500"/>
    <s v="."/>
    <s v="."/>
    <s v="."/>
    <s v="."/>
    <s v="TTR111"/>
    <s v="."/>
    <s v="."/>
    <m/>
    <s v="MŁ"/>
    <n v="6.25"/>
    <s v="Krukar/Pikul"/>
    <d v="2015-11-24T00:00:00"/>
    <m/>
    <x v="0"/>
    <s v="."/>
    <s v="."/>
    <n v="1400"/>
    <s v="."/>
    <s v="."/>
    <s v="."/>
    <s v="."/>
    <s v="."/>
    <x v="0"/>
    <x v="0"/>
    <x v="0"/>
  </r>
  <r>
    <s v="6200/2015-1"/>
    <x v="77"/>
    <x v="1"/>
    <d v="2015-11-24T00:00:00"/>
    <d v="1900-01-01T00:00:00"/>
    <n v="2"/>
    <d v="2015-11-26T00:00:00"/>
    <x v="12"/>
    <s v="."/>
    <n v="357"/>
    <n v="300"/>
    <n v="90"/>
    <s v="."/>
    <s v="ok"/>
    <s v="ok"/>
    <s v="Avery PET Transfer WH TOP S8001 232mm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194/2015-2"/>
    <x v="78"/>
    <x v="9"/>
    <d v="2015-11-24T00:00:00"/>
    <d v="1900-01-01T00:00:00"/>
    <n v="5"/>
    <d v="2015-11-26T00:00:00"/>
    <x v="12"/>
    <s v="."/>
    <n v="2286"/>
    <s v="."/>
    <s v="."/>
    <s v="."/>
    <s v="."/>
    <s v="."/>
    <s v="."/>
    <s v="."/>
    <m/>
    <s v="KC"/>
    <n v="2.33"/>
    <s v="Jawornicki"/>
    <d v="2015-11-24T00:00:00"/>
    <m/>
    <x v="0"/>
    <s v="."/>
    <s v="."/>
    <s v="."/>
    <s v="."/>
    <s v="."/>
    <s v="."/>
    <s v="."/>
    <s v="."/>
    <x v="0"/>
    <x v="0"/>
    <x v="0"/>
  </r>
  <r>
    <s v="6279/2015-1"/>
    <x v="155"/>
    <x v="8"/>
    <d v="2015-11-25T00:00:00"/>
    <d v="1900-01-01T00:00:00"/>
    <n v="2"/>
    <d v="2015-11-27T00:00:00"/>
    <x v="60"/>
    <s v="."/>
    <n v="2540"/>
    <n v="2800"/>
    <n v="96"/>
    <s v="."/>
    <s v="ok"/>
    <s v="do wywołania"/>
    <s v="Raflatac Raflacoat RH9X 330mm"/>
    <s v="24.11"/>
    <m/>
    <s v="IP"/>
    <m/>
    <s v="."/>
    <m/>
    <m/>
    <x v="1"/>
    <s v="."/>
    <s v="."/>
    <s v="."/>
    <s v="."/>
    <s v="."/>
    <s v="."/>
    <s v="."/>
    <s v="."/>
    <x v="0"/>
    <x v="0"/>
    <x v="0"/>
  </r>
  <r>
    <s v="6292/2015-1"/>
    <x v="143"/>
    <x v="2"/>
    <d v="2015-11-24T00:00:00"/>
    <d v="1900-01-06T00:00:00"/>
    <n v="5"/>
    <d v="2015-12-01T00:00:00"/>
    <x v="1"/>
    <s v="."/>
    <n v="115"/>
    <n v="400"/>
    <n v="104"/>
    <s v="ok"/>
    <s v="ok"/>
    <s v="ok"/>
    <s v="Raflatac Raflacoat RH9X 260mm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232/2015-1"/>
    <x v="101"/>
    <x v="6"/>
    <d v="2015-11-23T00:00:00"/>
    <d v="1900-01-06T00:00:00"/>
    <n v="1"/>
    <d v="2015-11-30T00:00:00"/>
    <x v="14"/>
    <s v="."/>
    <n v="1063"/>
    <n v="1300"/>
    <n v="67"/>
    <s v="ok"/>
    <s v="ok"/>
    <s v="ok"/>
    <s v="Avery Primecoat S2000N 315mm"/>
    <s v="."/>
    <m/>
    <s v="IP"/>
    <n v="1.92"/>
    <s v="Turka"/>
    <d v="2015-11-23T00:00:00"/>
    <m/>
    <x v="0"/>
    <s v="."/>
    <s v="."/>
    <s v="."/>
    <s v="."/>
    <s v="."/>
    <s v="."/>
    <s v="."/>
    <s v="."/>
    <x v="0"/>
    <x v="0"/>
    <x v="0"/>
  </r>
  <r>
    <s v="6273/2015-1"/>
    <x v="126"/>
    <x v="6"/>
    <d v="2015-11-24T00:00:00"/>
    <d v="1900-01-06T00:00:00"/>
    <n v="5"/>
    <d v="2015-12-01T00:00:00"/>
    <x v="51"/>
    <s v="."/>
    <n v="228"/>
    <n v="500"/>
    <n v="96"/>
    <s v="ok"/>
    <s v="ok"/>
    <s v="ok"/>
    <s v="Antalis Tyvek graficzny 1057D 55g 118mm"/>
    <s v="ok 500mb jest"/>
    <m/>
    <s v="TB"/>
    <m/>
    <s v="."/>
    <m/>
    <m/>
    <x v="1"/>
    <s v="."/>
    <s v="."/>
    <s v="."/>
    <s v="."/>
    <s v="."/>
    <s v="."/>
    <s v="."/>
    <s v="."/>
    <x v="1"/>
    <x v="0"/>
    <x v="0"/>
  </r>
  <r>
    <s v="6283/2015-2"/>
    <x v="139"/>
    <x v="18"/>
    <m/>
    <d v="2015-12-04T00:00:00"/>
    <n v="5"/>
    <d v="2015-12-04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."/>
    <s v="."/>
    <s v="."/>
    <s v="."/>
    <s v="."/>
    <s v="."/>
    <s v="."/>
    <s v="."/>
    <x v="1"/>
    <x v="0"/>
    <x v="0"/>
  </r>
  <r>
    <s v="A733/2015-2"/>
    <x v="218"/>
    <x v="13"/>
    <m/>
    <d v="2015-11-26T00:00:00"/>
    <n v="4"/>
    <d v="2015-11-26T00:00:00"/>
    <x v="14"/>
    <s v="8x110 1 kurs"/>
    <n v="450"/>
    <s v="."/>
    <s v="."/>
    <s v="."/>
    <s v="."/>
    <s v="TTR131"/>
    <s v="."/>
    <s v="."/>
    <m/>
    <s v="IP"/>
    <m/>
    <s v="."/>
    <m/>
    <d v="2015-11-30T00:00:00"/>
    <x v="1"/>
    <s v="."/>
    <s v="."/>
    <s v="."/>
    <s v="."/>
    <s v="."/>
    <s v="."/>
    <s v="."/>
    <s v="."/>
    <x v="0"/>
    <x v="0"/>
    <x v="0"/>
  </r>
  <r>
    <s v="A733/2015-1"/>
    <x v="218"/>
    <x v="17"/>
    <m/>
    <d v="2015-11-26T00:00:00"/>
    <n v="2"/>
    <d v="2015-11-26T00:00:00"/>
    <x v="14"/>
    <s v="8x110 1 kurs"/>
    <n v="450"/>
    <s v="."/>
    <s v="."/>
    <s v="."/>
    <s v="."/>
    <s v="TTR131"/>
    <s v="."/>
    <s v="."/>
    <m/>
    <s v="IP"/>
    <n v="1.25"/>
    <s v="Pikul"/>
    <d v="2015-11-24T00:00:00"/>
    <d v="2015-11-30T00:00:00"/>
    <x v="0"/>
    <s v="."/>
    <s v="."/>
    <s v="."/>
    <s v="."/>
    <s v="."/>
    <s v="."/>
    <s v="."/>
    <s v="."/>
    <x v="0"/>
    <x v="0"/>
    <x v="0"/>
  </r>
  <r>
    <s v="6267/2015-1"/>
    <x v="122"/>
    <x v="12"/>
    <d v="2015-11-24T00:00:00"/>
    <d v="1900-01-07T00:00:00"/>
    <n v="4"/>
    <d v="2015-12-02T00:00:00"/>
    <x v="50"/>
    <s v="."/>
    <n v="157"/>
    <n v="250"/>
    <n v="134"/>
    <s v="."/>
    <s v="ok"/>
    <s v="ok"/>
    <s v="Raflatac PP white TC 60 RP37 250mm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33/2015-1"/>
    <x v="219"/>
    <x v="0"/>
    <d v="2015-11-24T00:00:00"/>
    <d v="1899-12-31T00:00:00"/>
    <n v="5"/>
    <d v="2015-11-25T00:00:00"/>
    <x v="76"/>
    <s v="."/>
    <n v="529"/>
    <n v="700"/>
    <n v="75"/>
    <s v="."/>
    <s v="ok"/>
    <s v="ok"/>
    <s v="Raflatac Raflacoat RH09 260mm"/>
    <s v="."/>
    <m/>
    <s v="IP"/>
    <n v="1.25"/>
    <s v="Józefczyk"/>
    <d v="2015-11-24T00:00:00"/>
    <d v="2015-11-30T00:00:00"/>
    <x v="0"/>
    <s v="."/>
    <s v="."/>
    <s v="."/>
    <s v="."/>
    <s v="."/>
    <s v="."/>
    <s v="."/>
    <s v="."/>
    <x v="0"/>
    <x v="0"/>
    <x v="0"/>
  </r>
  <r>
    <s v="6167/2015-2"/>
    <x v="30"/>
    <x v="1"/>
    <m/>
    <d v="2015-11-26T00:00:00"/>
    <n v="4"/>
    <d v="2015-11-26T00:00:00"/>
    <x v="8"/>
    <s v="."/>
    <n v="15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265/2015-2"/>
    <x v="95"/>
    <x v="9"/>
    <d v="2015-11-24T00:00:00"/>
    <d v="1900-01-01T00:00:00"/>
    <n v="6"/>
    <d v="2015-11-26T00:00:00"/>
    <x v="38"/>
    <s v="."/>
    <n v="449"/>
    <s v="."/>
    <s v="."/>
    <s v="."/>
    <s v="."/>
    <s v="."/>
    <s v="."/>
    <s v="."/>
    <m/>
    <s v="KC"/>
    <n v="2"/>
    <s v="Jawornicki"/>
    <d v="2015-11-24T00:00:00"/>
    <m/>
    <x v="0"/>
    <s v="."/>
    <s v="."/>
    <s v="."/>
    <s v="."/>
    <s v="."/>
    <s v="."/>
    <s v="."/>
    <s v="."/>
    <x v="0"/>
    <x v="0"/>
    <x v="0"/>
  </r>
  <r>
    <s v="6314/2015-1"/>
    <x v="158"/>
    <x v="12"/>
    <d v="2015-11-25T00:00:00"/>
    <d v="1900-01-04T00:00:00"/>
    <n v="5"/>
    <d v="2015-11-30T00:00:00"/>
    <x v="29"/>
    <s v="."/>
    <n v="531"/>
    <n v="700"/>
    <n v="134"/>
    <s v="."/>
    <s v="ok"/>
    <s v="do wywołania"/>
    <s v="Raflatac Raflacoat RH9X 320mm"/>
    <s v="."/>
    <m/>
    <s v="MŁ"/>
    <m/>
    <s v="."/>
    <m/>
    <m/>
    <x v="1"/>
    <s v="."/>
    <s v="."/>
    <s v="."/>
    <s v="."/>
    <s v="."/>
    <s v="."/>
    <s v="."/>
    <s v="."/>
    <x v="0"/>
    <x v="0"/>
    <x v="0"/>
  </r>
  <r>
    <s v="6295/2015-1"/>
    <x v="144"/>
    <x v="2"/>
    <d v="2015-11-24T00:00:00"/>
    <d v="1900-01-06T00:00:00"/>
    <n v="6"/>
    <d v="2015-12-01T00:00:00"/>
    <x v="1"/>
    <s v="."/>
    <n v="814"/>
    <n v="1100"/>
    <n v="77"/>
    <s v="ok"/>
    <s v="ok"/>
    <s v="ok"/>
    <s v="Raflatac Vellum RH09 258mm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356/2015-2"/>
    <x v="166"/>
    <x v="4"/>
    <m/>
    <d v="2015-11-26T00:00:00"/>
    <n v="2"/>
    <d v="2015-11-26T00:00:00"/>
    <x v="56"/>
    <s v="."/>
    <n v="38"/>
    <s v="."/>
    <s v="."/>
    <s v="."/>
    <s v="."/>
    <s v="."/>
    <s v="."/>
    <s v="."/>
    <m/>
    <s v="TB"/>
    <m/>
    <s v="."/>
    <m/>
    <d v="2015-12-01T00:00:00"/>
    <x v="1"/>
    <s v="primer Combat"/>
    <s v="."/>
    <s v="."/>
    <s v="."/>
    <s v="."/>
    <s v="."/>
    <s v="."/>
    <s v="."/>
    <x v="0"/>
    <x v="0"/>
    <x v="0"/>
  </r>
  <r>
    <s v="6282/2015-2"/>
    <x v="17"/>
    <x v="18"/>
    <m/>
    <d v="2015-12-04T00:00:00"/>
    <n v="6"/>
    <d v="2015-12-04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."/>
    <s v="."/>
    <s v="."/>
    <s v="."/>
    <s v="."/>
    <s v="."/>
    <s v="."/>
    <s v="."/>
    <x v="1"/>
    <x v="0"/>
    <x v="0"/>
  </r>
  <r>
    <s v="A734/2015-2"/>
    <x v="220"/>
    <x v="13"/>
    <m/>
    <d v="2015-11-30T00:00:00"/>
    <n v="15"/>
    <d v="2015-11-30T00:00:00"/>
    <x v="77"/>
    <s v="16x55 3 kursy"/>
    <n v="1800"/>
    <s v="."/>
    <s v="."/>
    <s v="."/>
    <s v="."/>
    <s v="TTR112"/>
    <s v="."/>
    <s v="."/>
    <m/>
    <s v="TB"/>
    <m/>
    <s v="."/>
    <m/>
    <m/>
    <x v="0"/>
    <s v="."/>
    <s v="."/>
    <s v="."/>
    <s v="."/>
    <s v="."/>
    <s v="."/>
    <s v="."/>
    <s v="."/>
    <x v="0"/>
    <x v="0"/>
    <x v="0"/>
  </r>
  <r>
    <s v="A726/2015-2"/>
    <x v="213"/>
    <x v="13"/>
    <m/>
    <d v="2015-11-27T00:00:00"/>
    <n v="5"/>
    <d v="2015-11-27T00:00:00"/>
    <x v="75"/>
    <s v="8x104 2 kursy"/>
    <n v="600"/>
    <s v="."/>
    <s v="."/>
    <s v="."/>
    <s v="."/>
    <s v="TTR302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A727/2015-1"/>
    <x v="217"/>
    <x v="17"/>
    <m/>
    <d v="2015-11-26T00:00:00"/>
    <n v="3"/>
    <d v="2015-11-26T00:00:00"/>
    <x v="31"/>
    <s v="16x56 1 kurs"/>
    <n v="300"/>
    <s v="."/>
    <s v="."/>
    <s v="."/>
    <s v="."/>
    <s v="TTR131"/>
    <s v="."/>
    <s v="."/>
    <m/>
    <s v="MŁ"/>
    <n v="1"/>
    <s v="Pikul"/>
    <d v="2015-11-24T00:00:00"/>
    <m/>
    <x v="0"/>
    <s v="."/>
    <s v="."/>
    <s v="."/>
    <s v="."/>
    <s v="."/>
    <s v="."/>
    <s v="."/>
    <s v="."/>
    <x v="0"/>
    <x v="0"/>
    <x v="0"/>
  </r>
  <r>
    <s v="6240/2015-1"/>
    <x v="109"/>
    <x v="4"/>
    <d v="2015-11-23T00:00:00"/>
    <d v="1900-01-06T00:00:00"/>
    <n v="5"/>
    <d v="2015-11-30T00:00:00"/>
    <x v="20"/>
    <s v="."/>
    <n v="340"/>
    <n v="650"/>
    <n v="134"/>
    <s v="ok"/>
    <s v="ok"/>
    <s v="ok"/>
    <s v="Raflatac PET Matt silv 50 RP37 200mm"/>
    <s v="."/>
    <m/>
    <s v="IP"/>
    <m/>
    <s v="Placek"/>
    <d v="2015-11-24T00:00:00"/>
    <m/>
    <x v="0"/>
    <s v="taśma papierowa 24.11"/>
    <s v="."/>
    <s v="."/>
    <s v="."/>
    <s v="."/>
    <s v="."/>
    <s v="."/>
    <s v="."/>
    <x v="0"/>
    <x v="0"/>
    <x v="0"/>
  </r>
  <r>
    <s v="6317/2015-1"/>
    <x v="159"/>
    <x v="12"/>
    <d v="2015-11-25T00:00:00"/>
    <d v="1900-01-04T00:00:00"/>
    <n v="6"/>
    <d v="2015-11-30T00:00:00"/>
    <x v="61"/>
    <s v="."/>
    <n v="1340"/>
    <n v="1500"/>
    <n v="134"/>
    <s v="."/>
    <s v="ok"/>
    <s v="do wywołania"/>
    <s v="Raflatac Raflacoat RP51 320mm"/>
    <s v="24.11"/>
    <m/>
    <s v="IP"/>
    <m/>
    <s v="."/>
    <m/>
    <m/>
    <x v="1"/>
    <s v="."/>
    <s v="."/>
    <s v="."/>
    <s v="."/>
    <s v="."/>
    <s v="."/>
    <s v="."/>
    <s v="."/>
    <x v="0"/>
    <x v="0"/>
    <x v="0"/>
  </r>
  <r>
    <s v="6328/2015-1"/>
    <x v="49"/>
    <x v="0"/>
    <d v="2015-11-24T00:00:00"/>
    <d v="1900-01-05T00:00:00"/>
    <n v="2"/>
    <d v="2015-11-30T00:00:00"/>
    <x v="17"/>
    <s v="."/>
    <n v="76"/>
    <n v="300"/>
    <n v="72"/>
    <s v="."/>
    <s v="ok"/>
    <s v="ok"/>
    <s v="Avery PET transfer WH TOP S8001 185mm"/>
    <s v="."/>
    <m/>
    <s v="DG"/>
    <n v="0.66"/>
    <s v="Kozłowski"/>
    <d v="2015-11-24T00:00:00"/>
    <m/>
    <x v="0"/>
    <s v="."/>
    <s v="."/>
    <s v="."/>
    <s v="."/>
    <s v="."/>
    <s v="."/>
    <s v="."/>
    <s v="."/>
    <x v="0"/>
    <x v="0"/>
    <x v="0"/>
  </r>
  <r>
    <s v="6172/2015-2"/>
    <x v="54"/>
    <x v="1"/>
    <m/>
    <d v="2015-11-26T00:00:00"/>
    <n v="4"/>
    <d v="2015-11-26T00:00:00"/>
    <x v="8"/>
    <s v="."/>
    <n v="127"/>
    <s v="."/>
    <s v="."/>
    <s v="."/>
    <s v="."/>
    <s v="."/>
    <s v="."/>
    <s v="."/>
    <m/>
    <s v="KC"/>
    <n v="4.5"/>
    <s v="Pawlik/Smagała"/>
    <d v="2015-11-24T00:00:00"/>
    <m/>
    <x v="0"/>
    <s v="."/>
    <s v="."/>
    <s v="."/>
    <s v="."/>
    <s v="."/>
    <s v="."/>
    <s v="."/>
    <s v="."/>
    <x v="0"/>
    <x v="0"/>
    <x v="0"/>
  </r>
  <r>
    <s v="6281/2015-2"/>
    <x v="221"/>
    <x v="9"/>
    <m/>
    <d v="2015-11-26T00:00:00"/>
    <n v="5"/>
    <d v="2015-11-26T00:00:00"/>
    <x v="36"/>
    <s v="próbka"/>
    <n v="23"/>
    <s v="."/>
    <s v="."/>
    <s v="."/>
    <s v="."/>
    <s v="."/>
    <s v="."/>
    <s v="."/>
    <m/>
    <s v="MŁ"/>
    <m/>
    <s v="."/>
    <m/>
    <d v="2015-11-27T00:00:00"/>
    <x v="1"/>
    <s v="."/>
    <s v="."/>
    <s v="."/>
    <s v="."/>
    <s v="."/>
    <s v="."/>
    <s v="."/>
    <s v="."/>
    <x v="0"/>
    <x v="0"/>
    <x v="0"/>
  </r>
  <r>
    <s v="6325/2015-1"/>
    <x v="198"/>
    <x v="8"/>
    <d v="2015-11-25T00:00:00"/>
    <d v="1900-01-04T00:00:00"/>
    <n v="3"/>
    <d v="2015-11-30T00:00:00"/>
    <x v="69"/>
    <s v="."/>
    <n v="4127"/>
    <n v="4400"/>
    <n v="104"/>
    <s v="."/>
    <s v="ok"/>
    <s v="do wywołania"/>
    <s v="Raflatac PP white TC60 RP37 215mm"/>
    <s v="25.11"/>
    <m/>
    <s v="KC"/>
    <m/>
    <s v="."/>
    <m/>
    <m/>
    <x v="1"/>
    <s v="."/>
    <s v="."/>
    <s v="."/>
    <s v="."/>
    <s v="."/>
    <s v="."/>
    <s v="."/>
    <s v="."/>
    <x v="0"/>
    <x v="0"/>
    <x v="0"/>
  </r>
  <r>
    <s v="6264/2015-1"/>
    <x v="162"/>
    <x v="2"/>
    <d v="2015-11-25T00:00:00"/>
    <d v="1900-01-04T00:00:00"/>
    <n v="7"/>
    <d v="2015-11-30T00:00:00"/>
    <x v="62"/>
    <s v="."/>
    <n v="4497"/>
    <n v="4800"/>
    <n v="85"/>
    <s v="ok"/>
    <s v="ok"/>
    <s v="do wywołania"/>
    <s v="Raflatac Raflacoat RP51 223mm"/>
    <s v="24.11"/>
    <m/>
    <s v="KC"/>
    <m/>
    <s v="."/>
    <m/>
    <m/>
    <x v="1"/>
    <s v="."/>
    <s v="."/>
    <s v="."/>
    <s v="."/>
    <s v="."/>
    <s v="."/>
    <s v="."/>
    <s v="."/>
    <x v="0"/>
    <x v="0"/>
    <x v="0"/>
  </r>
  <r>
    <s v="6277/2015-1"/>
    <x v="132"/>
    <x v="4"/>
    <d v="2015-11-24T00:00:00"/>
    <d v="1900-01-06T00:00:00"/>
    <n v="8"/>
    <d v="2015-12-01T00:00:00"/>
    <x v="53"/>
    <s v="."/>
    <n v="111"/>
    <n v="300"/>
    <n v="66"/>
    <s v="ok"/>
    <s v="ok"/>
    <s v="ok"/>
    <s v="Ritrama RI 757/60 PP WH TC AP901 196mm"/>
    <s v="."/>
    <m/>
    <s v="KC"/>
    <n v="0.33"/>
    <s v="Mucha Ł."/>
    <d v="2015-11-24T00:00:00"/>
    <m/>
    <x v="0"/>
    <s v="."/>
    <s v="."/>
    <s v="."/>
    <s v="."/>
    <s v="."/>
    <s v="."/>
    <s v="."/>
    <s v="."/>
    <x v="1"/>
    <x v="0"/>
    <x v="0"/>
  </r>
  <r>
    <s v="6240/2015-5"/>
    <x v="109"/>
    <x v="18"/>
    <m/>
    <d v="2015-11-30T00:00:00"/>
    <n v="7"/>
    <d v="2015-11-30T00:00:00"/>
    <x v="20"/>
    <s v="."/>
    <n v="340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A728/2015-2"/>
    <x v="222"/>
    <x v="13"/>
    <m/>
    <d v="2015-11-27T00:00:00"/>
    <n v="6"/>
    <d v="2015-11-27T00:00:00"/>
    <x v="16"/>
    <s v="10x90 1 kurs"/>
    <n v="300"/>
    <s v="."/>
    <s v="."/>
    <s v="."/>
    <s v="."/>
    <s v="TTR131"/>
    <s v=".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A728/2015-1"/>
    <x v="222"/>
    <x v="17"/>
    <m/>
    <d v="2015-11-27T00:00:00"/>
    <n v="4"/>
    <d v="2015-11-27T00:00:00"/>
    <x v="16"/>
    <s v="10x90 1 kurs"/>
    <n v="300"/>
    <s v="."/>
    <s v="."/>
    <s v="."/>
    <s v="."/>
    <s v="TTR131"/>
    <s v="."/>
    <s v="."/>
    <m/>
    <s v="KC"/>
    <n v="0.75"/>
    <s v="Krukar"/>
    <d v="2015-11-25T00:00:00"/>
    <m/>
    <x v="0"/>
    <s v="."/>
    <s v="."/>
    <s v="."/>
    <s v="."/>
    <s v="."/>
    <s v="."/>
    <s v="."/>
    <s v="."/>
    <x v="0"/>
    <x v="0"/>
    <x v="0"/>
  </r>
  <r>
    <s v="6298/2015-1"/>
    <x v="193"/>
    <x v="16"/>
    <m/>
    <d v="2015-12-01T00:00:00"/>
    <n v="1"/>
    <d v="2015-12-01T00:00:00"/>
    <x v="14"/>
    <s v="."/>
    <n v="26"/>
    <n v="300"/>
    <n v="66"/>
    <s v="ok"/>
    <s v="ok"/>
    <s v="."/>
    <s v="Raflatac Raflacoat RH09 220mm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322/2015-1"/>
    <x v="156"/>
    <x v="12"/>
    <d v="2015-11-25T00:00:00"/>
    <d v="1900-01-04T00:00:00"/>
    <n v="7"/>
    <d v="2015-11-30T00:00:00"/>
    <x v="28"/>
    <s v="."/>
    <n v="1905"/>
    <n v="2200"/>
    <n v="80"/>
    <s v="."/>
    <s v="ok"/>
    <s v="do wywołania"/>
    <s v="Avery Fasson Tyre TS79 250mm"/>
    <s v="."/>
    <m/>
    <s v="TB"/>
    <m/>
    <s v="."/>
    <m/>
    <m/>
    <x v="1"/>
    <s v="."/>
    <s v="."/>
    <s v="."/>
    <s v="."/>
    <s v="."/>
    <s v="."/>
    <s v="."/>
    <s v="."/>
    <x v="0"/>
    <x v="0"/>
    <x v="0"/>
  </r>
  <r>
    <s v="6174/2015-1"/>
    <x v="75"/>
    <x v="0"/>
    <d v="2015-11-24T00:00:00"/>
    <d v="1900-01-07T00:00:00"/>
    <n v="3"/>
    <d v="2015-12-02T00:00:00"/>
    <x v="39"/>
    <s v="."/>
    <n v="895"/>
    <n v="1100"/>
    <n v="67"/>
    <s v="."/>
    <s v="ok"/>
    <s v="ok"/>
    <s v="Avery PET transfer white PT S 8020 157mm"/>
    <s v="17.11"/>
    <m/>
    <s v="KC"/>
    <n v="2"/>
    <s v="Kozłowski"/>
    <d v="2015-11-24T00:00:00"/>
    <m/>
    <x v="0"/>
    <s v="."/>
    <s v="."/>
    <s v="."/>
    <s v="."/>
    <s v="."/>
    <s v="."/>
    <s v="."/>
    <s v="."/>
    <x v="1"/>
    <x v="0"/>
    <x v="0"/>
  </r>
  <r>
    <s v="6281/2015-1"/>
    <x v="221"/>
    <x v="1"/>
    <d v="2015-11-24T00:00:00"/>
    <d v="1900-01-01T00:00:00"/>
    <n v="3"/>
    <d v="2015-11-26T00:00:00"/>
    <x v="36"/>
    <s v="próbka"/>
    <n v="23"/>
    <n v="100"/>
    <n v="128"/>
    <s v="."/>
    <s v="ok"/>
    <s v="ok"/>
    <s v="Raflatac Rafacoat RP51 272mm"/>
    <s v="."/>
    <m/>
    <s v="MŁ"/>
    <m/>
    <s v="."/>
    <m/>
    <d v="2015-11-27T00:00:00"/>
    <x v="1"/>
    <s v="."/>
    <s v="."/>
    <s v="."/>
    <s v="."/>
    <s v="."/>
    <s v="."/>
    <s v="."/>
    <s v="."/>
    <x v="0"/>
    <x v="0"/>
    <x v="0"/>
  </r>
  <r>
    <s v="6197/2015-3"/>
    <x v="79"/>
    <x v="9"/>
    <d v="2015-11-24T00:00:00"/>
    <d v="1900-01-01T00:00:00"/>
    <n v="8"/>
    <d v="2015-11-26T00:00:00"/>
    <x v="40"/>
    <s v="."/>
    <n v="365"/>
    <s v="."/>
    <s v="."/>
    <s v="."/>
    <s v="."/>
    <s v="."/>
    <s v="."/>
    <s v="."/>
    <m/>
    <s v="KC"/>
    <n v="0.75"/>
    <s v="Tkacz"/>
    <d v="2015-11-24T00:00:00"/>
    <m/>
    <x v="0"/>
    <s v="."/>
    <s v="."/>
    <s v="."/>
    <s v="."/>
    <s v="."/>
    <s v="."/>
    <s v="."/>
    <s v="."/>
    <x v="0"/>
    <x v="0"/>
    <x v="0"/>
  </r>
  <r>
    <s v="6339/2015-1"/>
    <x v="199"/>
    <x v="8"/>
    <d v="2015-11-25T00:00:00"/>
    <d v="1900-01-04T00:00:00"/>
    <n v="4"/>
    <d v="2015-11-30T00:00:00"/>
    <x v="69"/>
    <s v="."/>
    <n v="551"/>
    <n v="800"/>
    <n v="104"/>
    <s v="."/>
    <s v="25.11"/>
    <s v="do wywołania"/>
    <s v="Raflatac PP white TC60 RP37 250mm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261/2015-1"/>
    <x v="111"/>
    <x v="4"/>
    <d v="2015-11-24T00:00:00"/>
    <d v="1900-01-05T00:00:00"/>
    <n v="11"/>
    <d v="2015-11-30T00:00:00"/>
    <x v="18"/>
    <s v="."/>
    <n v="30"/>
    <n v="200"/>
    <n v="67"/>
    <s v="ok"/>
    <s v="ok"/>
    <s v="zlec 6258"/>
    <s v="bazowe"/>
    <s v="."/>
    <m/>
    <s v="KC"/>
    <n v="0.33"/>
    <s v="Placek"/>
    <d v="2015-11-24T00:00:00"/>
    <m/>
    <x v="0"/>
    <s v="."/>
    <s v="."/>
    <s v="."/>
    <s v="."/>
    <s v="."/>
    <s v="."/>
    <s v="."/>
    <s v="."/>
    <x v="0"/>
    <x v="0"/>
    <x v="0"/>
  </r>
  <r>
    <s v="6239/2015-4"/>
    <x v="108"/>
    <x v="18"/>
    <m/>
    <d v="2015-11-30T00:00:00"/>
    <n v="8"/>
    <d v="2015-11-30T00:00:00"/>
    <x v="20"/>
    <s v="."/>
    <n v="106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55/2015-1"/>
    <x v="136"/>
    <x v="2"/>
    <d v="2015-11-25T00:00:00"/>
    <d v="1900-01-04T00:00:00"/>
    <n v="8"/>
    <d v="2015-11-30T00:00:00"/>
    <x v="54"/>
    <s v="."/>
    <n v="508"/>
    <n v="800"/>
    <n v="96"/>
    <s v="ok"/>
    <s v="ok"/>
    <s v="do wywołania"/>
    <s v="Raflatac Raflacoat RH7 333mm"/>
    <s v="25.11"/>
    <m/>
    <s v="IP"/>
    <m/>
    <s v="."/>
    <m/>
    <m/>
    <x v="1"/>
    <s v="."/>
    <s v="."/>
    <s v="."/>
    <s v="."/>
    <s v="."/>
    <s v="."/>
    <s v="."/>
    <s v="."/>
    <x v="0"/>
    <x v="0"/>
    <x v="0"/>
  </r>
  <r>
    <s v="A739/2015-1"/>
    <x v="223"/>
    <x v="17"/>
    <m/>
    <d v="2015-12-01T00:00:00"/>
    <n v="1"/>
    <d v="2015-12-01T00:00:00"/>
    <x v="35"/>
    <s v="9x94 14 kursów"/>
    <n v="4200"/>
    <s v="."/>
    <s v="."/>
    <s v="."/>
    <s v="."/>
    <s v="TTR131"/>
    <s v="."/>
    <s v="."/>
    <m/>
    <s v="MŁ"/>
    <m/>
    <s v="Krukar"/>
    <d v="2015-11-25T00:00:00"/>
    <m/>
    <x v="1"/>
    <s v="."/>
    <s v="."/>
    <n v="800"/>
    <s v="."/>
    <s v="."/>
    <s v="."/>
    <s v="."/>
    <s v="."/>
    <x v="1"/>
    <x v="0"/>
    <x v="0"/>
  </r>
  <r>
    <s v="6259/2015-1"/>
    <x v="114"/>
    <x v="4"/>
    <d v="2015-11-24T00:00:00"/>
    <d v="1900-01-05T00:00:00"/>
    <n v="12"/>
    <d v="2015-11-30T00:00:00"/>
    <x v="18"/>
    <s v="."/>
    <n v="30"/>
    <n v="200"/>
    <n v="67"/>
    <s v="ok"/>
    <s v="ok"/>
    <s v="zlec 6258"/>
    <s v="bazowe"/>
    <s v="."/>
    <m/>
    <s v="KC"/>
    <n v="0.33"/>
    <s v="Placek"/>
    <d v="2015-11-24T00:00:00"/>
    <m/>
    <x v="0"/>
    <s v="."/>
    <s v="."/>
    <s v="."/>
    <s v="."/>
    <s v="."/>
    <s v="."/>
    <s v="."/>
    <s v="."/>
    <x v="0"/>
    <x v="0"/>
    <x v="0"/>
  </r>
  <r>
    <s v="A731/2015-2"/>
    <x v="224"/>
    <x v="13"/>
    <m/>
    <d v="2015-11-27T00:00:00"/>
    <n v="7"/>
    <d v="2015-11-27T00:00:00"/>
    <x v="1"/>
    <s v="10x84 7 kursów"/>
    <n v="4200"/>
    <s v="."/>
    <s v="."/>
    <s v="."/>
    <s v="."/>
    <s v="TTR112"/>
    <s v="."/>
    <s v="."/>
    <m/>
    <s v="TB"/>
    <m/>
    <s v="."/>
    <m/>
    <m/>
    <x v="1"/>
    <s v="."/>
    <s v="."/>
    <s v="."/>
    <s v="."/>
    <s v="."/>
    <s v="."/>
    <s v="."/>
    <s v="."/>
    <x v="0"/>
    <x v="0"/>
    <x v="0"/>
  </r>
  <r>
    <s v="6324/2015-1"/>
    <x v="201"/>
    <x v="12"/>
    <d v="2015-11-25T00:00:00"/>
    <d v="1900-01-04T00:00:00"/>
    <n v="8"/>
    <d v="2015-11-30T00:00:00"/>
    <x v="69"/>
    <s v="."/>
    <n v="1889"/>
    <n v="2000"/>
    <n v="75"/>
    <s v="."/>
    <s v="ok"/>
    <s v="do wywołania"/>
    <s v="Raflatac PP white TC60 RP37 325mm"/>
    <s v="25.11"/>
    <m/>
    <s v="KC"/>
    <m/>
    <s v="."/>
    <m/>
    <m/>
    <x v="1"/>
    <s v="."/>
    <s v="."/>
    <s v="."/>
    <s v="."/>
    <s v="."/>
    <s v="."/>
    <s v="."/>
    <s v="."/>
    <x v="0"/>
    <x v="0"/>
    <x v="0"/>
  </r>
  <r>
    <s v="6268/2015-1"/>
    <x v="128"/>
    <x v="0"/>
    <d v="2015-11-24T00:00:00"/>
    <d v="1900-01-07T00:00:00"/>
    <n v="4"/>
    <d v="2015-12-02T00:00:00"/>
    <x v="50"/>
    <s v="."/>
    <n v="58"/>
    <n v="250"/>
    <n v="96"/>
    <s v="."/>
    <s v="ok"/>
    <s v="ok"/>
    <s v="Raflatac PP white TC60 RP37 250mm"/>
    <s v="."/>
    <m/>
    <s v="KC"/>
    <n v="0.66"/>
    <s v="Kozłowski"/>
    <d v="2015-11-24T00:00:00"/>
    <m/>
    <x v="0"/>
    <s v="."/>
    <s v="."/>
    <s v="."/>
    <s v="."/>
    <s v="."/>
    <s v="."/>
    <s v="."/>
    <s v="."/>
    <x v="1"/>
    <x v="0"/>
    <x v="0"/>
  </r>
  <r>
    <s v="6324/2015-1"/>
    <x v="201"/>
    <x v="12"/>
    <d v="2015-11-25T00:00:00"/>
    <d v="1900-01-04T00:00:00"/>
    <n v="8"/>
    <d v="2015-11-30T00:00:00"/>
    <x v="69"/>
    <s v="."/>
    <n v="1889"/>
    <n v="200"/>
    <n v="75"/>
    <s v="."/>
    <s v="ok"/>
    <s v="do wywołania"/>
    <s v="Raflatac PP white TC60 RP37 340mm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A734/2015-1"/>
    <x v="220"/>
    <x v="17"/>
    <m/>
    <d v="2015-11-30T00:00:00"/>
    <n v="13"/>
    <d v="2015-11-30T00:00:00"/>
    <x v="77"/>
    <s v="16x55 3 kursy"/>
    <n v="1800"/>
    <s v="."/>
    <s v="."/>
    <s v="."/>
    <s v="."/>
    <s v="TTR112"/>
    <s v="."/>
    <s v="."/>
    <m/>
    <s v="TB"/>
    <m/>
    <s v="."/>
    <m/>
    <m/>
    <x v="0"/>
    <s v="."/>
    <s v="."/>
    <s v="."/>
    <s v="."/>
    <s v="."/>
    <s v="."/>
    <s v="."/>
    <s v="."/>
    <x v="0"/>
    <x v="0"/>
    <x v="0"/>
  </r>
  <r>
    <s v="6215/2015-2"/>
    <x v="83"/>
    <x v="1"/>
    <m/>
    <d v="2015-11-26T00:00:00"/>
    <n v="5"/>
    <d v="2015-11-26T00:00:00"/>
    <x v="4"/>
    <s v="."/>
    <n v="78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16/2015-3"/>
    <x v="82"/>
    <x v="9"/>
    <m/>
    <d v="2015-11-26T00:00:00"/>
    <n v="6"/>
    <d v="2015-11-26T00:00:00"/>
    <x v="4"/>
    <s v="."/>
    <n v="108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54/2015-1"/>
    <x v="137"/>
    <x v="2"/>
    <d v="2015-11-25T00:00:00"/>
    <d v="1900-01-04T00:00:00"/>
    <n v="9"/>
    <d v="2015-11-30T00:00:00"/>
    <x v="54"/>
    <s v="."/>
    <n v="152"/>
    <n v="400"/>
    <n v="96"/>
    <s v="ok"/>
    <s v="ok"/>
    <s v="do wywołania"/>
    <s v="Raflatac Raflacoat RH7 333mm"/>
    <s v="25.11"/>
    <m/>
    <s v="IP"/>
    <m/>
    <s v="."/>
    <m/>
    <m/>
    <x v="1"/>
    <s v="."/>
    <s v="."/>
    <s v="."/>
    <s v="."/>
    <s v="."/>
    <s v="."/>
    <s v="."/>
    <s v="."/>
    <x v="0"/>
    <x v="0"/>
    <x v="0"/>
  </r>
  <r>
    <s v="6253/2015-1"/>
    <x v="138"/>
    <x v="2"/>
    <d v="2015-11-25T00:00:00"/>
    <d v="1900-01-04T00:00:00"/>
    <n v="10"/>
    <d v="2015-11-30T00:00:00"/>
    <x v="54"/>
    <s v="."/>
    <n v="152"/>
    <n v="400"/>
    <n v="96"/>
    <s v="ok"/>
    <s v="ok"/>
    <s v="do wywołania"/>
    <s v="Raflatac Raflacoat RH7 333mm"/>
    <s v="25.11"/>
    <m/>
    <s v="IP"/>
    <m/>
    <s v="."/>
    <m/>
    <m/>
    <x v="1"/>
    <s v="."/>
    <s v="."/>
    <s v="."/>
    <s v="."/>
    <s v="."/>
    <s v="."/>
    <s v="."/>
    <s v="."/>
    <x v="0"/>
    <x v="0"/>
    <x v="0"/>
  </r>
  <r>
    <s v="6238/2015-1"/>
    <x v="147"/>
    <x v="2"/>
    <d v="2015-11-24T00:00:00"/>
    <d v="1900-01-01T00:00:00"/>
    <n v="11"/>
    <d v="2015-11-26T00:00:00"/>
    <x v="52"/>
    <s v="."/>
    <n v="5715"/>
    <n v="1800"/>
    <n v="120"/>
    <s v="25.11"/>
    <s v="25.11"/>
    <s v="ok"/>
    <s v="Antalis TYVEK graficzny 1073D 75g 230mm"/>
    <s v="."/>
    <m/>
    <s v="IP"/>
    <m/>
    <s v="."/>
    <m/>
    <d v="2015-11-30T00:00:00"/>
    <x v="1"/>
    <s v="częściowo"/>
    <s v="."/>
    <s v="."/>
    <s v="."/>
    <s v="."/>
    <s v="."/>
    <s v="."/>
    <s v="."/>
    <x v="0"/>
    <x v="0"/>
    <x v="0"/>
  </r>
  <r>
    <s v="A730/2015-2"/>
    <x v="225"/>
    <x v="13"/>
    <m/>
    <d v="2015-12-01T00:00:00"/>
    <n v="8"/>
    <d v="2015-12-01T00:00:00"/>
    <x v="78"/>
    <s v="5x165 2 kursy"/>
    <n v="920"/>
    <s v="."/>
    <s v="."/>
    <s v="."/>
    <s v="."/>
    <s v="TTR131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241/2015-4"/>
    <x v="115"/>
    <x v="18"/>
    <m/>
    <d v="2015-12-01T00:00:00"/>
    <n v="9"/>
    <d v="2015-12-01T00:00:00"/>
    <x v="20"/>
    <s v="."/>
    <n v="627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162/2015-1"/>
    <x v="52"/>
    <x v="2"/>
    <d v="2015-11-19T00:00:00"/>
    <d v="1900-01-06T00:00:00"/>
    <n v="12"/>
    <d v="2015-11-26T00:00:00"/>
    <x v="1"/>
    <s v="."/>
    <n v="2641"/>
    <n v="3000"/>
    <n v="104"/>
    <s v="ok"/>
    <s v="25.11"/>
    <s v="ok"/>
    <s v="Raflatac Vellum RH09 258mm"/>
    <s v="17.11"/>
    <m/>
    <s v="TB"/>
    <m/>
    <s v="."/>
    <m/>
    <d v="2015-11-24T00:00:00"/>
    <x v="1"/>
    <s v="."/>
    <s v="."/>
    <s v="."/>
    <s v="."/>
    <s v="."/>
    <s v="."/>
    <s v="."/>
    <s v="."/>
    <x v="0"/>
    <x v="0"/>
    <x v="0"/>
  </r>
  <r>
    <s v="A730/2015-1"/>
    <x v="225"/>
    <x v="17"/>
    <m/>
    <d v="2015-12-01T00:00:00"/>
    <n v="2"/>
    <d v="2015-12-01T00:00:00"/>
    <x v="78"/>
    <s v="5x165 2 kursy"/>
    <n v="920"/>
    <s v="."/>
    <s v="."/>
    <s v="."/>
    <s v="."/>
    <s v="TTR131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335/2015-1"/>
    <x v="183"/>
    <x v="0"/>
    <d v="2015-11-24T00:00:00"/>
    <d v="1900-01-07T00:00:00"/>
    <n v="5"/>
    <d v="2015-12-02T00:00:00"/>
    <x v="18"/>
    <s v="."/>
    <n v="198"/>
    <n v="400"/>
    <n v="104"/>
    <s v="."/>
    <s v="ok"/>
    <s v="ok"/>
    <s v="Raflatac Raflacoat RH09 260mm"/>
    <s v="."/>
    <m/>
    <s v="KC"/>
    <n v="1.17"/>
    <s v="Kozłowski"/>
    <d v="2015-11-24T00:00:00"/>
    <m/>
    <x v="0"/>
    <s v="."/>
    <s v="."/>
    <s v="."/>
    <s v="."/>
    <s v="."/>
    <s v="."/>
    <s v="."/>
    <s v="."/>
    <x v="1"/>
    <x v="0"/>
    <x v="0"/>
  </r>
  <r>
    <s v="6326/2015-1"/>
    <x v="202"/>
    <x v="12"/>
    <d v="2015-11-25T00:00:00"/>
    <d v="1900-01-04T00:00:00"/>
    <n v="9"/>
    <d v="2015-11-30T00:00:00"/>
    <x v="69"/>
    <s v="."/>
    <n v="1632"/>
    <n v="1900"/>
    <n v="96"/>
    <s v="."/>
    <s v="ok"/>
    <s v="do wywołania"/>
    <s v="Raflatac PP white TC60 RP37 345mm"/>
    <s v="25.11"/>
    <m/>
    <s v="KC"/>
    <m/>
    <s v="."/>
    <m/>
    <m/>
    <x v="1"/>
    <s v="."/>
    <s v="."/>
    <s v="."/>
    <s v="."/>
    <s v="."/>
    <s v="."/>
    <s v="."/>
    <s v="."/>
    <x v="0"/>
    <x v="0"/>
    <x v="0"/>
  </r>
  <r>
    <s v="6214/2015-2"/>
    <x v="84"/>
    <x v="1"/>
    <m/>
    <d v="2015-11-26T00:00:00"/>
    <n v="6"/>
    <d v="2015-11-26T00:00:00"/>
    <x v="4"/>
    <s v="."/>
    <n v="108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15/2015-3"/>
    <x v="83"/>
    <x v="9"/>
    <m/>
    <d v="2015-11-26T00:00:00"/>
    <n v="7"/>
    <d v="2015-11-26T00:00:00"/>
    <x v="4"/>
    <s v="."/>
    <n v="78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76/2015-1"/>
    <x v="133"/>
    <x v="4"/>
    <d v="2015-11-24T00:00:00"/>
    <d v="1900-01-06T00:00:00"/>
    <n v="9"/>
    <d v="2015-12-01T00:00:00"/>
    <x v="53"/>
    <s v="."/>
    <n v="91"/>
    <n v="300"/>
    <n v="66"/>
    <s v="ok"/>
    <s v="ok"/>
    <s v="ok"/>
    <s v="Ritrama RI 757/60 PP WH TC AP901 196mm"/>
    <s v="."/>
    <m/>
    <s v="KC"/>
    <n v="0.33"/>
    <s v="Mucha Ł."/>
    <d v="2015-11-24T00:00:00"/>
    <m/>
    <x v="0"/>
    <s v="."/>
    <s v="."/>
    <s v="."/>
    <s v="."/>
    <s v="."/>
    <s v="."/>
    <s v="."/>
    <s v="."/>
    <x v="1"/>
    <x v="0"/>
    <x v="0"/>
  </r>
  <r>
    <s v="6275/2015-1"/>
    <x v="134"/>
    <x v="4"/>
    <d v="2015-11-24T00:00:00"/>
    <d v="1900-01-06T00:00:00"/>
    <n v="10"/>
    <d v="2015-12-01T00:00:00"/>
    <x v="53"/>
    <s v="."/>
    <n v="65"/>
    <n v="200"/>
    <n v="66"/>
    <s v="ok"/>
    <s v="ok"/>
    <s v="ok"/>
    <s v="Ritrama RI 757/60 PP WH TC AP901 196mm"/>
    <s v="."/>
    <m/>
    <s v="KC"/>
    <n v="0.33"/>
    <s v="Mucha Ł."/>
    <d v="2015-11-24T00:00:00"/>
    <m/>
    <x v="0"/>
    <s v="."/>
    <s v="."/>
    <s v="."/>
    <s v="."/>
    <s v="."/>
    <s v="."/>
    <s v="."/>
    <s v="."/>
    <x v="1"/>
    <x v="0"/>
    <x v="0"/>
  </r>
  <r>
    <s v="6327/2015-4"/>
    <x v="168"/>
    <x v="18"/>
    <m/>
    <d v="2015-12-02T00:00:00"/>
    <n v="10"/>
    <d v="2015-12-02T00:00:00"/>
    <x v="20"/>
    <s v="."/>
    <n v="212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278/2015-1"/>
    <x v="129"/>
    <x v="6"/>
    <d v="2015-11-24T00:00:00"/>
    <d v="1900-01-06T00:00:00"/>
    <n v="6"/>
    <d v="2015-12-01T00:00:00"/>
    <x v="3"/>
    <s v="."/>
    <n v="101"/>
    <n v="400"/>
    <n v="128"/>
    <s v="ok"/>
    <s v="ok"/>
    <s v="ok"/>
    <s v="Raflatac Raflacoat RH09 340mm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A732/2015-2"/>
    <x v="214"/>
    <x v="13"/>
    <m/>
    <d v="2015-12-01T00:00:00"/>
    <n v="9"/>
    <d v="2015-12-01T00:00:00"/>
    <x v="63"/>
    <s v="5x155 1 kurs"/>
    <n v="300"/>
    <s v="."/>
    <s v="."/>
    <s v="."/>
    <s v="."/>
    <s v="TTR302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334/2015-1"/>
    <x v="184"/>
    <x v="0"/>
    <d v="2015-11-24T00:00:00"/>
    <d v="1900-01-07T00:00:00"/>
    <n v="6"/>
    <d v="2015-12-02T00:00:00"/>
    <x v="18"/>
    <s v="."/>
    <n v="132"/>
    <n v="300"/>
    <n v="104"/>
    <s v="."/>
    <s v="ok"/>
    <s v="ok"/>
    <s v="Raflatac Raflacoat RH09 260mm"/>
    <s v="."/>
    <m/>
    <s v="KC"/>
    <n v="1.83"/>
    <s v="Józefczyk"/>
    <d v="2015-11-25T00:00:00"/>
    <m/>
    <x v="0"/>
    <s v="."/>
    <s v="."/>
    <s v="."/>
    <s v="."/>
    <s v="."/>
    <s v="."/>
    <s v="."/>
    <s v="."/>
    <x v="1"/>
    <x v="0"/>
    <x v="0"/>
  </r>
  <r>
    <s v="A738/2015-1"/>
    <x v="226"/>
    <x v="17"/>
    <m/>
    <d v="2015-12-03T00:00:00"/>
    <n v="7"/>
    <d v="2015-12-03T00:00:00"/>
    <x v="12"/>
    <s v="18x50 1 kurs"/>
    <n v="450"/>
    <s v="."/>
    <s v="."/>
    <s v="."/>
    <s v="."/>
    <s v="TTR131"/>
    <s v="."/>
    <s v="."/>
    <m/>
    <s v="KC"/>
    <n v="1.17"/>
    <s v="Krukar"/>
    <d v="2015-11-25T00:00:00"/>
    <m/>
    <x v="0"/>
    <s v="."/>
    <s v="."/>
    <s v="."/>
    <s v="."/>
    <s v="."/>
    <s v="."/>
    <s v="."/>
    <s v="."/>
    <x v="1"/>
    <x v="0"/>
    <x v="0"/>
  </r>
  <r>
    <s v="6231/2015-1"/>
    <x v="47"/>
    <x v="12"/>
    <d v="2015-11-25T00:00:00"/>
    <d v="1900-01-05T00:00:00"/>
    <n v="10"/>
    <d v="2015-12-01T00:00:00"/>
    <x v="14"/>
    <s v="."/>
    <n v="2381"/>
    <n v="2600"/>
    <n v="90"/>
    <s v="."/>
    <s v="ok"/>
    <s v="do wywołania"/>
    <s v="Avery Primecoat S2000N 315mm"/>
    <s v="24.11"/>
    <m/>
    <s v="IP"/>
    <m/>
    <s v="."/>
    <m/>
    <m/>
    <x v="1"/>
    <s v="."/>
    <s v="."/>
    <s v="."/>
    <s v="."/>
    <s v="."/>
    <s v="."/>
    <s v="."/>
    <s v="."/>
    <x v="1"/>
    <x v="0"/>
    <x v="0"/>
  </r>
  <r>
    <s v="6214/2015-3"/>
    <x v="84"/>
    <x v="9"/>
    <m/>
    <d v="2015-11-26T00:00:00"/>
    <n v="8"/>
    <d v="2015-11-26T00:00:00"/>
    <x v="4"/>
    <s v="."/>
    <n v="108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86/2015-1"/>
    <x v="140"/>
    <x v="2"/>
    <d v="2015-11-23T00:00:00"/>
    <d v="1900-01-07T00:00:00"/>
    <n v="13"/>
    <d v="2015-12-01T00:00:00"/>
    <x v="1"/>
    <s v="."/>
    <n v="2201"/>
    <n v="2500"/>
    <n v="104"/>
    <s v="ok"/>
    <s v="25.11"/>
    <s v="ok"/>
    <s v="Raflatac Raflacoat RH9X 260mm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274/2015-1"/>
    <x v="135"/>
    <x v="4"/>
    <d v="2015-11-24T00:00:00"/>
    <d v="1900-01-06T00:00:00"/>
    <n v="11"/>
    <d v="2015-12-01T00:00:00"/>
    <x v="53"/>
    <s v="."/>
    <n v="32"/>
    <n v="200"/>
    <n v="66"/>
    <s v="ok"/>
    <s v="ok"/>
    <s v="ok"/>
    <s v="Ritrama RI 757/60 PP WH TC AP901 196mm"/>
    <s v="."/>
    <m/>
    <s v="KC"/>
    <n v="0.33"/>
    <s v="Mucha Ł."/>
    <d v="2015-11-24T00:00:00"/>
    <m/>
    <x v="0"/>
    <s v="."/>
    <s v="."/>
    <s v="."/>
    <s v="."/>
    <s v="."/>
    <s v="."/>
    <s v="."/>
    <s v="."/>
    <x v="1"/>
    <x v="0"/>
    <x v="0"/>
  </r>
  <r>
    <s v="6277/2015-4"/>
    <x v="132"/>
    <x v="18"/>
    <m/>
    <d v="2015-12-01T00:00:00"/>
    <n v="11"/>
    <d v="2015-12-01T00:00:00"/>
    <x v="53"/>
    <s v="."/>
    <n v="111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90/2015-1"/>
    <x v="151"/>
    <x v="6"/>
    <d v="2015-11-25T00:00:00"/>
    <d v="1900-01-05T00:00:00"/>
    <n v="7"/>
    <d v="2015-12-01T00:00:00"/>
    <x v="14"/>
    <s v="."/>
    <n v="10629"/>
    <n v="12500"/>
    <n v="124"/>
    <s v="ok"/>
    <s v="ok"/>
    <s v="do wywołania"/>
    <s v="IGEPA profisilk 250g/m2 + PE20 163mm powlekany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312/2015-1"/>
    <x v="185"/>
    <x v="0"/>
    <d v="2015-11-24T00:00:00"/>
    <d v="1900-01-12T00:00:00"/>
    <n v="1"/>
    <d v="2015-12-07T00:00:00"/>
    <x v="68"/>
    <s v="."/>
    <n v="1219"/>
    <n v="1500"/>
    <n v="90"/>
    <s v="."/>
    <s v="ok"/>
    <s v="ok"/>
    <s v="Avery PP NG TOP WH TCU S692N 150mm"/>
    <s v="."/>
    <m/>
    <s v="IP"/>
    <m/>
    <s v="Józefczyk"/>
    <d v="2015-11-25T00:00:00"/>
    <m/>
    <x v="1"/>
    <s v="."/>
    <s v="."/>
    <n v="800"/>
    <s v="."/>
    <s v="."/>
    <s v="."/>
    <s v="."/>
    <s v="."/>
    <x v="1"/>
    <x v="0"/>
    <x v="0"/>
  </r>
  <r>
    <s v="A731/2015-1"/>
    <x v="224"/>
    <x v="17"/>
    <m/>
    <d v="2015-11-27T00:00:00"/>
    <n v="3"/>
    <d v="2015-11-27T00:00:00"/>
    <x v="1"/>
    <s v="10x84 7 kursów"/>
    <n v="4200"/>
    <s v="."/>
    <s v="."/>
    <s v="."/>
    <s v="."/>
    <s v="TTR112"/>
    <s v="."/>
    <s v="."/>
    <m/>
    <s v="TB"/>
    <m/>
    <s v="."/>
    <m/>
    <m/>
    <x v="1"/>
    <s v="."/>
    <s v="."/>
    <s v="."/>
    <s v="."/>
    <s v="."/>
    <s v="."/>
    <s v="."/>
    <s v="."/>
    <x v="0"/>
    <x v="0"/>
    <x v="0"/>
  </r>
  <r>
    <s v="A735/2015-2"/>
    <x v="227"/>
    <x v="13"/>
    <m/>
    <d v="2015-12-01T00:00:00"/>
    <n v="10"/>
    <d v="2015-12-01T00:00:00"/>
    <x v="11"/>
    <s v="5x156 4 kursy"/>
    <n v="1200"/>
    <s v="."/>
    <s v="."/>
    <s v="."/>
    <s v="."/>
    <s v="TTR101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13/2015-2"/>
    <x v="85"/>
    <x v="1"/>
    <m/>
    <d v="2015-11-26T00:00:00"/>
    <n v="7"/>
    <d v="2015-11-26T00:00:00"/>
    <x v="4"/>
    <s v="."/>
    <n v="73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13/2015-3"/>
    <x v="85"/>
    <x v="9"/>
    <m/>
    <d v="2015-11-26T00:00:00"/>
    <n v="9"/>
    <d v="2015-11-26T00:00:00"/>
    <x v="4"/>
    <s v="."/>
    <n v="73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96/2015-1"/>
    <x v="52"/>
    <x v="2"/>
    <d v="2015-11-24T00:00:00"/>
    <d v="1900-01-06T00:00:00"/>
    <n v="14"/>
    <d v="2015-12-01T00:00:00"/>
    <x v="1"/>
    <s v="."/>
    <n v="2641"/>
    <n v="3000"/>
    <n v="104"/>
    <s v="ok"/>
    <s v="25.11"/>
    <s v="ok"/>
    <s v="Raflatac Vellum RH09 258mm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313/2015-1"/>
    <x v="152"/>
    <x v="4"/>
    <d v="2015-11-24T00:00:00"/>
    <d v="1900-01-06T00:00:00"/>
    <n v="3"/>
    <d v="2015-12-01T00:00:00"/>
    <x v="58"/>
    <s v="."/>
    <n v="104"/>
    <n v="300"/>
    <n v="132"/>
    <s v="ok"/>
    <s v="ok"/>
    <s v="ok"/>
    <s v="Raflatac PP white TC60 RC10 HD70 208mm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76/2015-4"/>
    <x v="133"/>
    <x v="18"/>
    <m/>
    <d v="2015-12-01T00:00:00"/>
    <n v="12"/>
    <d v="2015-12-01T00:00:00"/>
    <x v="53"/>
    <s v="."/>
    <n v="91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45/2015-1"/>
    <x v="195"/>
    <x v="6"/>
    <d v="2015-11-25T00:00:00"/>
    <d v="1900-01-08T00:00:00"/>
    <n v="8"/>
    <d v="2015-12-04T00:00:00"/>
    <x v="14"/>
    <s v="."/>
    <n v="13373"/>
    <n v="11300"/>
    <n v="78"/>
    <s v="ok"/>
    <s v="ok"/>
    <s v="do wywołania"/>
    <s v="IGEPA profisilk 250g/m2 163mm niepowlekany"/>
    <s v="1800mb jest, 950mb 24.11"/>
    <m/>
    <s v="IP"/>
    <m/>
    <s v="."/>
    <m/>
    <m/>
    <x v="1"/>
    <s v="."/>
    <s v="."/>
    <s v="."/>
    <s v="."/>
    <s v="."/>
    <s v="."/>
    <s v="."/>
    <s v="."/>
    <x v="1"/>
    <x v="0"/>
    <x v="0"/>
  </r>
  <r>
    <s v="A739/2015-2"/>
    <x v="223"/>
    <x v="13"/>
    <m/>
    <d v="2015-12-01T00:00:00"/>
    <n v="11"/>
    <d v="2015-12-01T00:00:00"/>
    <x v="35"/>
    <s v="9x94 14 kursów"/>
    <n v="4200"/>
    <s v="."/>
    <s v="."/>
    <s v="."/>
    <s v="."/>
    <s v="TTR131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310/2015-1"/>
    <x v="186"/>
    <x v="0"/>
    <d v="2015-11-24T00:00:00"/>
    <d v="1900-01-13T00:00:00"/>
    <n v="2"/>
    <d v="2015-12-08T00:00:00"/>
    <x v="68"/>
    <s v="."/>
    <n v="1371"/>
    <n v="1100"/>
    <n v="96"/>
    <s v="."/>
    <s v="ok"/>
    <s v="ok"/>
    <s v="Avery PP NG TOP WH TCU S692N 240mm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A735/2015-1"/>
    <x v="227"/>
    <x v="17"/>
    <m/>
    <d v="2015-12-01T00:00:00"/>
    <n v="4"/>
    <d v="2015-12-01T00:00:00"/>
    <x v="11"/>
    <s v="5x156 4 kursy"/>
    <n v="1200"/>
    <s v="."/>
    <s v="."/>
    <s v="."/>
    <s v="."/>
    <s v="TTR101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197/2015-2"/>
    <x v="79"/>
    <x v="1"/>
    <m/>
    <d v="2015-11-26T00:00:00"/>
    <n v="8"/>
    <d v="2015-11-26T00:00:00"/>
    <x v="40"/>
    <s v="."/>
    <n v="365"/>
    <s v="."/>
    <s v="."/>
    <s v="."/>
    <s v="."/>
    <s v="."/>
    <s v="."/>
    <s v="."/>
    <m/>
    <s v="KC"/>
    <n v="2.42"/>
    <s v="Pawlik"/>
    <d v="2015-11-24T00:00:00"/>
    <m/>
    <x v="0"/>
    <s v="."/>
    <s v="."/>
    <s v="."/>
    <s v="."/>
    <s v="."/>
    <s v="."/>
    <s v="."/>
    <s v="."/>
    <x v="0"/>
    <x v="0"/>
    <x v="0"/>
  </r>
  <r>
    <s v="6212/2015-3"/>
    <x v="87"/>
    <x v="9"/>
    <m/>
    <d v="2015-11-26T00:00:00"/>
    <n v="10"/>
    <d v="2015-11-26T00:00:00"/>
    <x v="4"/>
    <s v="."/>
    <n v="161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29/2015-1"/>
    <x v="100"/>
    <x v="6"/>
    <d v="2015-11-26T00:00:00"/>
    <d v="1900-01-03T00:00:00"/>
    <n v="9"/>
    <d v="2015-11-30T00:00:00"/>
    <x v="44"/>
    <s v="."/>
    <n v="2381"/>
    <n v="2700"/>
    <n v="90"/>
    <s v="ok"/>
    <s v="ok"/>
    <s v="do wywołania"/>
    <s v="Avery PE 150 white S692 222mm"/>
    <s v="26.11"/>
    <m/>
    <s v="TB"/>
    <m/>
    <s v="."/>
    <m/>
    <m/>
    <x v="1"/>
    <s v="."/>
    <s v="."/>
    <s v="."/>
    <s v="."/>
    <s v="."/>
    <s v="."/>
    <s v="."/>
    <s v="."/>
    <x v="0"/>
    <x v="0"/>
    <x v="0"/>
  </r>
  <r>
    <s v="6246/2015-1"/>
    <x v="104"/>
    <x v="4"/>
    <d v="2015-11-24T00:00:00"/>
    <d v="1900-01-07T00:00:00"/>
    <n v="4"/>
    <d v="2015-12-02T00:00:00"/>
    <x v="45"/>
    <s v="."/>
    <n v="46"/>
    <n v="300"/>
    <n v="134"/>
    <s v="nowy"/>
    <s v="ok"/>
    <s v="ok"/>
    <s v="Avery PET Transfer WH TOP S8001 190mm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75/2015-4"/>
    <x v="134"/>
    <x v="18"/>
    <m/>
    <d v="2015-12-01T00:00:00"/>
    <n v="13"/>
    <d v="2015-12-01T00:00:00"/>
    <x v="53"/>
    <s v="."/>
    <n v="65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10/2015-1"/>
    <x v="186"/>
    <x v="0"/>
    <d v="2015-11-24T00:00:00"/>
    <d v="1900-01-13T00:00:00"/>
    <n v="2"/>
    <d v="2015-12-08T00:00:00"/>
    <x v="68"/>
    <s v="."/>
    <n v="1371"/>
    <n v="600"/>
    <n v="96"/>
    <s v="."/>
    <s v="ok"/>
    <s v="ok"/>
    <s v="Avery PP NG TOP WH TCU S692N 211mm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A737/2015-2"/>
    <x v="228"/>
    <x v="13"/>
    <m/>
    <d v="2015-12-03T00:00:00"/>
    <n v="12"/>
    <d v="2015-12-03T00:00:00"/>
    <x v="12"/>
    <s v="8x110 4 kursy"/>
    <n v="1800"/>
    <s v="."/>
    <s v="."/>
    <s v="."/>
    <s v="."/>
    <s v="TTR302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12/2015-2"/>
    <x v="87"/>
    <x v="1"/>
    <m/>
    <d v="2015-11-26T00:00:00"/>
    <n v="8"/>
    <d v="2015-11-26T00:00:00"/>
    <x v="4"/>
    <s v="."/>
    <n v="161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11/2015-3"/>
    <x v="89"/>
    <x v="9"/>
    <m/>
    <d v="2015-11-26T00:00:00"/>
    <n v="11"/>
    <d v="2015-11-26T00:00:00"/>
    <x v="4"/>
    <s v="."/>
    <n v="113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45/2015-1"/>
    <x v="105"/>
    <x v="4"/>
    <d v="2015-11-24T00:00:00"/>
    <d v="1900-01-07T00:00:00"/>
    <n v="5"/>
    <d v="2015-12-02T00:00:00"/>
    <x v="45"/>
    <s v="."/>
    <n v="92"/>
    <n v="300"/>
    <n v="134"/>
    <s v="ok"/>
    <s v="ok"/>
    <s v="ok"/>
    <s v="Avery PET Transfer WH TOP S8001 232mm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49/2015-1"/>
    <x v="107"/>
    <x v="2"/>
    <d v="2015-11-23T00:00:00"/>
    <d v="1900-01-06T00:00:00"/>
    <n v="2"/>
    <d v="2015-11-30T00:00:00"/>
    <x v="42"/>
    <s v="."/>
    <n v="1828"/>
    <n v="1800"/>
    <n v="96"/>
    <s v="ok"/>
    <s v="ok"/>
    <s v="ok"/>
    <s v="Raflatac Data RP51 200mm"/>
    <s v="rano poproszę"/>
    <m/>
    <s v="IP"/>
    <n v="1.5"/>
    <s v="Juszczak"/>
    <d v="2015-11-24T00:00:00"/>
    <m/>
    <x v="0"/>
    <s v="."/>
    <s v="."/>
    <s v="."/>
    <s v="."/>
    <s v="."/>
    <s v="."/>
    <s v="."/>
    <s v="."/>
    <x v="0"/>
    <x v="0"/>
    <x v="0"/>
  </r>
  <r>
    <s v="6274/2015-4"/>
    <x v="135"/>
    <x v="18"/>
    <m/>
    <d v="2015-12-01T00:00:00"/>
    <n v="14"/>
    <d v="2015-12-01T00:00:00"/>
    <x v="53"/>
    <s v="."/>
    <n v="32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49/2015-1"/>
    <x v="107"/>
    <x v="2"/>
    <d v="2015-11-23T00:00:00"/>
    <d v="1900-01-06T00:00:00"/>
    <n v="2"/>
    <d v="2015-11-30T00:00:00"/>
    <x v="42"/>
    <s v="."/>
    <n v="1828"/>
    <n v="370"/>
    <n v="96"/>
    <s v="ok"/>
    <s v="ok"/>
    <s v="ok"/>
    <s v="Raflatac Data RP51 260mm"/>
    <s v="rano poproszę"/>
    <m/>
    <s v="IP"/>
    <n v="5"/>
    <s v="Juszczak"/>
    <d v="2015-11-24T00:00:00"/>
    <m/>
    <x v="0"/>
    <s v="."/>
    <s v="."/>
    <s v="."/>
    <s v="."/>
    <s v="."/>
    <s v="."/>
    <s v="."/>
    <s v="."/>
    <x v="0"/>
    <x v="0"/>
    <x v="0"/>
  </r>
  <r>
    <s v="6323/2015-1"/>
    <x v="187"/>
    <x v="0"/>
    <d v="2015-11-25T00:00:00"/>
    <d v="1900-01-04T00:00:00"/>
    <n v="3"/>
    <d v="2015-11-30T00:00:00"/>
    <x v="69"/>
    <s v="."/>
    <n v="412"/>
    <n v="600"/>
    <n v="104"/>
    <s v="."/>
    <s v="ok"/>
    <s v="do wywołania"/>
    <s v="Raf;atac PP white TC60 RP37 215mm"/>
    <s v="25.11"/>
    <m/>
    <s v="KC"/>
    <m/>
    <s v="."/>
    <m/>
    <m/>
    <x v="1"/>
    <s v="."/>
    <s v="."/>
    <s v="."/>
    <s v="."/>
    <s v="."/>
    <s v="."/>
    <s v="."/>
    <s v="."/>
    <x v="0"/>
    <x v="0"/>
    <x v="0"/>
  </r>
  <r>
    <s v="6211/2015-2"/>
    <x v="89"/>
    <x v="1"/>
    <m/>
    <d v="2015-11-26T00:00:00"/>
    <n v="9"/>
    <d v="2015-11-26T00:00:00"/>
    <x v="4"/>
    <s v="."/>
    <n v="113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08/2015-3"/>
    <x v="90"/>
    <x v="9"/>
    <m/>
    <d v="2015-11-26T00:00:00"/>
    <n v="12"/>
    <d v="2015-11-26T00:00:00"/>
    <x v="4"/>
    <s v="."/>
    <n v="155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44/2015-1"/>
    <x v="106"/>
    <x v="4"/>
    <d v="2015-11-24T00:00:00"/>
    <d v="1900-01-07T00:00:00"/>
    <n v="6"/>
    <d v="2015-12-02T00:00:00"/>
    <x v="45"/>
    <s v="."/>
    <n v="46"/>
    <n v="300"/>
    <n v="134"/>
    <s v="nowy"/>
    <s v="ok"/>
    <s v="ok"/>
    <s v="Avery PET Transfer WH TOP S8001 232mm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39/2015-1"/>
    <x v="108"/>
    <x v="4"/>
    <d v="2015-11-23T00:00:00"/>
    <d v="1900-01-06T00:00:00"/>
    <n v="4"/>
    <d v="2015-11-30T00:00:00"/>
    <x v="20"/>
    <s v="."/>
    <n v="106"/>
    <n v="250"/>
    <n v="134"/>
    <s v="nowy"/>
    <s v="ok"/>
    <s v="ok"/>
    <s v="Raflatac PET Matt silv 50 RP37 200mm"/>
    <s v="."/>
    <m/>
    <s v="IP"/>
    <m/>
    <s v="Placek"/>
    <d v="2015-11-24T00:00:00"/>
    <m/>
    <x v="0"/>
    <s v="."/>
    <s v="."/>
    <s v="."/>
    <s v="."/>
    <s v="."/>
    <s v="."/>
    <s v="."/>
    <s v="."/>
    <x v="0"/>
    <x v="0"/>
    <x v="0"/>
  </r>
  <r>
    <s v="6288/2015-2"/>
    <x v="141"/>
    <x v="18"/>
    <m/>
    <d v="2015-12-01T00:00:00"/>
    <n v="15"/>
    <d v="2015-12-01T00:00:00"/>
    <x v="1"/>
    <s v="."/>
    <n v="1063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353/2015-1"/>
    <x v="19"/>
    <x v="2"/>
    <m/>
    <d v="2015-11-30T00:00:00"/>
    <n v="15"/>
    <d v="2015-11-30T00:00:00"/>
    <x v="15"/>
    <s v="."/>
    <n v="15240"/>
    <n v="16000"/>
    <n v="96"/>
    <s v="ok"/>
    <s v="ok"/>
    <s v="."/>
    <s v="Raflatac Transfer board 170g 220mm"/>
    <s v="26.11, paski klejowe 25.11"/>
    <m/>
    <s v="IP"/>
    <m/>
    <s v="."/>
    <m/>
    <d v="2015-12-03T00:00:00"/>
    <x v="1"/>
    <s v="."/>
    <s v="."/>
    <s v="."/>
    <s v="."/>
    <s v="."/>
    <s v="."/>
    <s v="."/>
    <s v="."/>
    <x v="0"/>
    <x v="0"/>
    <x v="0"/>
  </r>
  <r>
    <s v="6344/2015-2"/>
    <x v="188"/>
    <x v="0"/>
    <m/>
    <d v="2015-11-26T00:00:00"/>
    <n v="4"/>
    <d v="2015-11-26T00:00:00"/>
    <x v="11"/>
    <s v="reklamacja!"/>
    <n v="222"/>
    <s v="."/>
    <s v="."/>
    <s v="."/>
    <s v="."/>
    <s v="."/>
    <s v="."/>
    <s v="."/>
    <m/>
    <s v="KC"/>
    <m/>
    <s v="."/>
    <m/>
    <d v="2015-12-03T00:00:00"/>
    <x v="1"/>
    <s v="."/>
    <s v="."/>
    <s v="."/>
    <s v="."/>
    <s v="."/>
    <s v="."/>
    <s v="."/>
    <s v="."/>
    <x v="0"/>
    <x v="0"/>
    <x v="0"/>
  </r>
  <r>
    <s v="6208/2015-2"/>
    <x v="90"/>
    <x v="1"/>
    <m/>
    <d v="2015-11-26T00:00:00"/>
    <n v="10"/>
    <d v="2015-11-26T00:00:00"/>
    <x v="4"/>
    <s v="."/>
    <n v="155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07/2015-3"/>
    <x v="91"/>
    <x v="9"/>
    <m/>
    <d v="2015-11-26T00:00:00"/>
    <n v="13"/>
    <d v="2015-11-26T00:00:00"/>
    <x v="4"/>
    <s v="."/>
    <n v="97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71/2015-1"/>
    <x v="120"/>
    <x v="4"/>
    <d v="2015-11-24T00:00:00"/>
    <d v="1900-01-07T00:00:00"/>
    <n v="7"/>
    <d v="2015-12-02T00:00:00"/>
    <x v="50"/>
    <s v="."/>
    <n v="202"/>
    <n v="400"/>
    <n v="85"/>
    <s v="ok"/>
    <s v="ok"/>
    <s v="ok"/>
    <s v="Raflatac optimum extra RP51 200mm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97/2015-1"/>
    <x v="148"/>
    <x v="6"/>
    <d v="2015-11-24T00:00:00"/>
    <d v="1900-01-06T00:00:00"/>
    <n v="11"/>
    <d v="2015-12-01T00:00:00"/>
    <x v="1"/>
    <s v="."/>
    <n v="431"/>
    <n v="800"/>
    <n v="80"/>
    <s v="ok"/>
    <s v="ok"/>
    <s v="ok"/>
    <s v="Ritrama Triplex coated AP904 2X GL 60 166mm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316/2015-3"/>
    <x v="163"/>
    <x v="18"/>
    <m/>
    <d v="2015-12-01T00:00:00"/>
    <n v="16"/>
    <d v="2015-12-01T00:00:00"/>
    <x v="11"/>
    <s v="."/>
    <n v="889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93/2015-1"/>
    <x v="149"/>
    <x v="6"/>
    <d v="2015-11-24T00:00:00"/>
    <d v="1900-01-06T00:00:00"/>
    <n v="12"/>
    <d v="2015-12-01T00:00:00"/>
    <x v="1"/>
    <s v="."/>
    <n v="816"/>
    <n v="1100"/>
    <n v="72"/>
    <s v="ok"/>
    <s v="ok"/>
    <s v="ok"/>
    <s v="Ritrama 767/70 MY WH PP TC M2 MATT AP901 250mm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351/2015-1"/>
    <x v="191"/>
    <x v="0"/>
    <d v="2015-11-25T00:00:00"/>
    <d v="1900-01-05T00:00:00"/>
    <n v="5"/>
    <d v="2015-12-01T00:00:00"/>
    <x v="71"/>
    <s v="."/>
    <n v="2743"/>
    <n v="2900"/>
    <n v="96"/>
    <s v="."/>
    <s v="ok"/>
    <s v="do wywołania"/>
    <s v="Raflatac Raflacoat RH09 260mm"/>
    <s v="24.11"/>
    <m/>
    <s v="KC"/>
    <m/>
    <s v="."/>
    <m/>
    <m/>
    <x v="1"/>
    <s v="."/>
    <s v="."/>
    <s v="."/>
    <s v="."/>
    <s v="."/>
    <s v="."/>
    <s v="."/>
    <s v="."/>
    <x v="1"/>
    <x v="0"/>
    <x v="0"/>
  </r>
  <r>
    <s v="6207/2015-2"/>
    <x v="91"/>
    <x v="1"/>
    <m/>
    <d v="2015-11-26T00:00:00"/>
    <n v="11"/>
    <d v="2015-11-26T00:00:00"/>
    <x v="4"/>
    <s v="."/>
    <n v="97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63/2015-3"/>
    <x v="146"/>
    <x v="9"/>
    <m/>
    <d v="2015-11-26T00:00:00"/>
    <n v="14"/>
    <d v="2015-11-26T00:00:00"/>
    <x v="56"/>
    <s v="."/>
    <n v="2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0"/>
    <x v="0"/>
    <x v="0"/>
  </r>
  <r>
    <s v="6359/2015-1"/>
    <x v="204"/>
    <x v="2"/>
    <m/>
    <d v="2015-12-03T00:00:00"/>
    <n v="18"/>
    <d v="2015-12-03T00:00:00"/>
    <x v="12"/>
    <s v="."/>
    <n v="476"/>
    <n v="800"/>
    <n v="120"/>
    <s v="ok"/>
    <s v="ok"/>
    <s v="."/>
    <s v="Raflatac Raflacoat RH09 260mm"/>
    <s v="24.11"/>
    <m/>
    <s v="KC"/>
    <m/>
    <s v="."/>
    <m/>
    <m/>
    <x v="1"/>
    <s v="."/>
    <s v="."/>
    <s v="."/>
    <s v="."/>
    <s v="."/>
    <s v="."/>
    <s v="."/>
    <s v="."/>
    <x v="1"/>
    <x v="0"/>
    <x v="0"/>
  </r>
  <r>
    <s v="6332/2015-3"/>
    <x v="229"/>
    <x v="18"/>
    <m/>
    <d v="2015-12-02T00:00:00"/>
    <n v="17"/>
    <d v="2015-12-02T00:00:00"/>
    <x v="64"/>
    <s v="."/>
    <n v="3962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270/2015-1"/>
    <x v="121"/>
    <x v="4"/>
    <d v="2015-11-24T00:00:00"/>
    <d v="1900-01-07T00:00:00"/>
    <n v="8"/>
    <d v="2015-12-02T00:00:00"/>
    <x v="50"/>
    <s v="."/>
    <n v="12"/>
    <n v="250"/>
    <n v="72"/>
    <s v="ok"/>
    <s v="ok"/>
    <s v="ok"/>
    <s v="Raflatac PP white TC60 RP37 166mm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68/2015-1"/>
    <x v="230"/>
    <x v="6"/>
    <d v="2015-11-26T00:00:00"/>
    <d v="1900-01-03T00:00:00"/>
    <n v="10"/>
    <d v="2015-11-30T00:00:00"/>
    <x v="35"/>
    <s v="."/>
    <n v="3058"/>
    <n v="3350"/>
    <n v="85"/>
    <s v="."/>
    <s v="ok"/>
    <s v="do wywołania"/>
    <s v="Ritrama 757/60 PP WH TC AP901 135mm"/>
    <s v="250mb jest, 3100mb 23.11"/>
    <m/>
    <s v="MŁ"/>
    <m/>
    <s v="."/>
    <m/>
    <d v="2015-12-01T00:00:00"/>
    <x v="1"/>
    <s v="."/>
    <s v="."/>
    <s v="."/>
    <s v="."/>
    <s v="."/>
    <s v="."/>
    <s v="."/>
    <s v="."/>
    <x v="0"/>
    <x v="0"/>
    <x v="0"/>
  </r>
  <r>
    <s v="6216/2015-2"/>
    <x v="82"/>
    <x v="1"/>
    <m/>
    <d v="2015-11-26T00:00:00"/>
    <n v="12"/>
    <d v="2015-11-26T00:00:00"/>
    <x v="4"/>
    <s v="."/>
    <n v="108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62/2015-3"/>
    <x v="145"/>
    <x v="9"/>
    <m/>
    <d v="2015-11-26T00:00:00"/>
    <n v="15"/>
    <d v="2015-11-26T00:00:00"/>
    <x v="56"/>
    <s v="."/>
    <n v="1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0"/>
    <x v="0"/>
    <x v="0"/>
  </r>
  <r>
    <s v="6355/2015-2"/>
    <x v="211"/>
    <x v="2"/>
    <m/>
    <d v="2015-12-03T00:00:00"/>
    <n v="19"/>
    <d v="2015-12-03T00:00:00"/>
    <x v="12"/>
    <s v="."/>
    <n v="119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30/2015-2"/>
    <x v="169"/>
    <x v="4"/>
    <d v="2015-11-24T00:00:00"/>
    <d v="1900-01-07T00:00:00"/>
    <n v="9"/>
    <d v="2015-12-02T00:00:00"/>
    <x v="65"/>
    <s v="."/>
    <n v="100"/>
    <s v="."/>
    <s v="."/>
    <s v="."/>
    <s v="."/>
    <s v="."/>
    <s v="."/>
    <s v="."/>
    <m/>
    <s v="MŁ"/>
    <m/>
    <s v="."/>
    <m/>
    <m/>
    <x v="1"/>
    <s v="primer Combat"/>
    <s v="."/>
    <s v="."/>
    <s v="."/>
    <s v="."/>
    <s v="."/>
    <s v="."/>
    <s v="."/>
    <x v="1"/>
    <x v="0"/>
    <x v="0"/>
  </r>
  <r>
    <s v="6357/2015-3"/>
    <x v="210"/>
    <x v="18"/>
    <m/>
    <d v="2015-12-03T00:00:00"/>
    <n v="18"/>
    <d v="2015-12-03T00:00:00"/>
    <x v="12"/>
    <s v="."/>
    <n v="122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84/2015-1"/>
    <x v="150"/>
    <x v="6"/>
    <m/>
    <d v="2015-12-01T00:00:00"/>
    <n v="13"/>
    <d v="2015-12-01T00:00:00"/>
    <x v="57"/>
    <s v="."/>
    <n v="5486"/>
    <n v="6500"/>
    <n v="96"/>
    <s v="ok"/>
    <s v="ok"/>
    <s v="."/>
    <s v="Ritrama 757/60 PP WH TC AP901 166mm"/>
    <s v="2000mb jest, 4500mb 23.11"/>
    <m/>
    <s v="MŁ"/>
    <m/>
    <s v="."/>
    <m/>
    <m/>
    <x v="1"/>
    <s v="."/>
    <s v="."/>
    <s v="."/>
    <s v="."/>
    <s v="."/>
    <s v="."/>
    <s v="."/>
    <s v="."/>
    <x v="1"/>
    <x v="0"/>
    <x v="0"/>
  </r>
  <r>
    <s v="6356/2015-3"/>
    <x v="166"/>
    <x v="1"/>
    <m/>
    <d v="2015-11-26T00:00:00"/>
    <n v="13"/>
    <d v="2015-11-26T00:00:00"/>
    <x v="56"/>
    <s v="."/>
    <n v="38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0"/>
    <x v="0"/>
    <x v="0"/>
  </r>
  <r>
    <s v="6162/2015-2"/>
    <x v="52"/>
    <x v="9"/>
    <m/>
    <d v="2015-11-26T00:00:00"/>
    <n v="16"/>
    <d v="2015-11-26T00:00:00"/>
    <x v="1"/>
    <s v="."/>
    <n v="2641"/>
    <s v="."/>
    <s v="."/>
    <s v="."/>
    <s v="."/>
    <s v="."/>
    <s v="."/>
    <s v="."/>
    <m/>
    <s v="TB"/>
    <m/>
    <s v="."/>
    <s v="."/>
    <d v="2015-11-24T00:00:00"/>
    <x v="1"/>
    <s v="uszkodzony wykrojnik"/>
    <s v="."/>
    <s v="."/>
    <s v="."/>
    <s v="."/>
    <s v="."/>
    <s v="."/>
    <s v="."/>
    <x v="0"/>
    <x v="0"/>
    <x v="0"/>
  </r>
  <r>
    <s v="6309/2015-1"/>
    <x v="172"/>
    <x v="4"/>
    <d v="2015-11-25T00:00:00"/>
    <d v="1900-01-07T00:00:00"/>
    <n v="10"/>
    <d v="2015-12-03T00:00:00"/>
    <x v="66"/>
    <s v="."/>
    <n v="476"/>
    <n v="700"/>
    <n v="75"/>
    <s v="nowy"/>
    <s v="ok"/>
    <s v="do wywołania"/>
    <s v="Raflatac Raflacoat RH9X 155mm"/>
    <s v="24.11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55/2015-3"/>
    <x v="211"/>
    <x v="18"/>
    <m/>
    <d v="2015-12-03T00:00:00"/>
    <n v="19"/>
    <d v="2015-12-03T00:00:00"/>
    <x v="12"/>
    <s v="."/>
    <n v="119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16/2015-1"/>
    <x v="163"/>
    <x v="6"/>
    <m/>
    <d v="2015-12-01T00:00:00"/>
    <n v="14"/>
    <d v="2015-12-01T00:00:00"/>
    <x v="11"/>
    <s v="."/>
    <n v="889"/>
    <n v="1200"/>
    <n v="112"/>
    <s v="ok"/>
    <s v="ok"/>
    <s v="."/>
    <s v="Raflatac Jetlaser 70 RP A4 KS55 240mm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99/2015-1"/>
    <x v="231"/>
    <x v="1"/>
    <d v="2015-11-24T00:00:00"/>
    <d v="1900-01-02T00:00:00"/>
    <n v="20"/>
    <d v="2015-11-27T00:00:00"/>
    <x v="1"/>
    <s v="próbka"/>
    <n v="1"/>
    <n v="50"/>
    <n v="124"/>
    <s v="."/>
    <s v="ok"/>
    <s v="ok"/>
    <s v="Raflatac PET white TC50 RP37 213mm"/>
    <s v="."/>
    <m/>
    <s v="TB"/>
    <m/>
    <s v="."/>
    <m/>
    <m/>
    <x v="1"/>
    <s v="."/>
    <s v="."/>
    <s v="."/>
    <s v="."/>
    <s v="."/>
    <s v="."/>
    <s v="."/>
    <s v="."/>
    <x v="0"/>
    <x v="0"/>
    <x v="0"/>
  </r>
  <r>
    <s v="6238/2015-2"/>
    <x v="147"/>
    <x v="9"/>
    <m/>
    <d v="2015-11-26T00:00:00"/>
    <n v="17"/>
    <d v="2015-11-26T00:00:00"/>
    <x v="52"/>
    <s v="."/>
    <n v="5715"/>
    <s v="."/>
    <s v="."/>
    <s v="."/>
    <s v="."/>
    <s v="."/>
    <s v="."/>
    <s v="."/>
    <m/>
    <s v="IP"/>
    <m/>
    <s v="."/>
    <m/>
    <d v="2015-11-30T00:00:00"/>
    <x v="1"/>
    <s v="częściowo"/>
    <s v="."/>
    <s v="."/>
    <s v="."/>
    <s v="."/>
    <s v="."/>
    <s v="."/>
    <s v="."/>
    <x v="0"/>
    <x v="0"/>
    <x v="0"/>
  </r>
  <r>
    <s v="6308/2015-1"/>
    <x v="173"/>
    <x v="4"/>
    <d v="2015-11-25T00:00:00"/>
    <d v="1900-01-07T00:00:00"/>
    <n v="11"/>
    <d v="2015-12-03T00:00:00"/>
    <x v="66"/>
    <s v="."/>
    <n v="476"/>
    <n v="700"/>
    <n v="75"/>
    <s v="nowy"/>
    <s v="ok"/>
    <s v="do wywołania"/>
    <s v="Raflatac Raflacoat RH9X 155mm"/>
    <s v="24.11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48/2015-1"/>
    <x v="196"/>
    <x v="18"/>
    <m/>
    <d v="2015-12-04T00:00:00"/>
    <n v="20"/>
    <d v="2015-12-04T00:00:00"/>
    <x v="8"/>
    <s v="."/>
    <n v="249"/>
    <n v="300"/>
    <n v="96"/>
    <s v="."/>
    <s v="ok"/>
    <s v="."/>
    <s v="Raflatac Lasergloss HS FSC RPA3 Kraft 235mm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29/2015-1"/>
    <x v="164"/>
    <x v="6"/>
    <m/>
    <d v="2015-12-01T00:00:00"/>
    <n v="15"/>
    <d v="2015-12-01T00:00:00"/>
    <x v="63"/>
    <s v="."/>
    <n v="548"/>
    <n v="850"/>
    <n v="96"/>
    <s v="ok"/>
    <s v="ok"/>
    <s v="."/>
    <s v="Raflatac Vellum RH09 367mm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337/2015-4"/>
    <x v="29"/>
    <x v="1"/>
    <m/>
    <d v="2015-11-27T00:00:00"/>
    <n v="21"/>
    <d v="2015-11-27T00:00:00"/>
    <x v="14"/>
    <s v="."/>
    <n v="304"/>
    <s v="."/>
    <s v="."/>
    <s v="."/>
    <s v="."/>
    <s v="."/>
    <s v="."/>
    <s v="."/>
    <m/>
    <s v="IP"/>
    <m/>
    <s v="."/>
    <m/>
    <d v="2015-12-02T00:00:00"/>
    <x v="1"/>
    <s v="częściowo, 300 szt"/>
    <s v="."/>
    <s v="."/>
    <s v="."/>
    <s v="."/>
    <s v="."/>
    <s v="."/>
    <s v="."/>
    <x v="0"/>
    <x v="0"/>
    <x v="0"/>
  </r>
  <r>
    <s v="6299/2015-2"/>
    <x v="231"/>
    <x v="9"/>
    <m/>
    <d v="2015-11-27T00:00:00"/>
    <n v="18"/>
    <d v="2015-11-27T00:00:00"/>
    <x v="1"/>
    <s v="próbka"/>
    <n v="1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0"/>
    <x v="0"/>
    <x v="0"/>
  </r>
  <r>
    <s v="6307/2015-1"/>
    <x v="174"/>
    <x v="4"/>
    <d v="2015-11-25T00:00:00"/>
    <d v="1900-01-07T00:00:00"/>
    <n v="12"/>
    <d v="2015-12-03T00:00:00"/>
    <x v="66"/>
    <s v="."/>
    <n v="476"/>
    <n v="700"/>
    <n v="75"/>
    <s v="nowy"/>
    <s v="ok"/>
    <s v="do wywołania"/>
    <s v="Raflatac Raflacoat RH9X 155mm"/>
    <s v="24.11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47/2015-1"/>
    <x v="197"/>
    <x v="18"/>
    <m/>
    <d v="2015-12-04T00:00:00"/>
    <n v="21"/>
    <d v="2015-12-04T00:00:00"/>
    <x v="8"/>
    <s v="."/>
    <n v="304"/>
    <n v="400"/>
    <n v="96"/>
    <s v="."/>
    <s v="ok"/>
    <s v="."/>
    <s v="Raflatac Lasergloss HS FSC RPA3 Kraft 235mm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32/2015-1"/>
    <x v="229"/>
    <x v="6"/>
    <m/>
    <d v="2015-12-02T00:00:00"/>
    <n v="16"/>
    <d v="2015-12-02T00:00:00"/>
    <x v="64"/>
    <s v="."/>
    <n v="3962"/>
    <n v="4300"/>
    <n v="104"/>
    <s v="ok"/>
    <s v="ok"/>
    <s v="."/>
    <s v="Raflatac Raflacoat RH09 220mm"/>
    <s v="24.11"/>
    <m/>
    <s v="IP"/>
    <m/>
    <s v="."/>
    <m/>
    <m/>
    <x v="1"/>
    <s v="."/>
    <s v="."/>
    <s v="."/>
    <s v="."/>
    <s v="."/>
    <s v="."/>
    <s v="."/>
    <s v="."/>
    <x v="1"/>
    <x v="0"/>
    <x v="0"/>
  </r>
  <r>
    <s v="6285/2015-4"/>
    <x v="97"/>
    <x v="1"/>
    <m/>
    <d v="2015-11-27T00:00:00"/>
    <n v="22"/>
    <d v="2015-11-27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częściowo, 400 szt"/>
    <s v="."/>
    <s v="."/>
    <s v="."/>
    <s v="."/>
    <s v="."/>
    <s v="."/>
    <s v="."/>
    <x v="0"/>
    <x v="0"/>
    <x v="0"/>
  </r>
  <r>
    <s v="6230/2015-2"/>
    <x v="98"/>
    <x v="9"/>
    <d v="2015-11-24T00:00:00"/>
    <d v="1900-01-02T00:00:00"/>
    <n v="22"/>
    <d v="2015-11-27T00:00:00"/>
    <x v="44"/>
    <s v="."/>
    <n v="952"/>
    <s v="."/>
    <s v="."/>
    <s v="."/>
    <s v="."/>
    <s v="."/>
    <s v="."/>
    <s v="."/>
    <m/>
    <s v="TB"/>
    <n v="1"/>
    <s v="Tkacz"/>
    <d v="2015-11-24T00:00:00"/>
    <m/>
    <x v="0"/>
    <s v="."/>
    <s v="."/>
    <s v="."/>
    <s v="."/>
    <s v="."/>
    <s v="."/>
    <s v="."/>
    <s v="."/>
    <x v="0"/>
    <x v="0"/>
    <x v="0"/>
  </r>
  <r>
    <s v="6306/2015-1"/>
    <x v="175"/>
    <x v="4"/>
    <d v="2015-11-25T00:00:00"/>
    <d v="1900-01-07T00:00:00"/>
    <n v="13"/>
    <d v="2015-12-03T00:00:00"/>
    <x v="66"/>
    <s v="."/>
    <n v="476"/>
    <n v="600"/>
    <n v="75"/>
    <s v="nowy"/>
    <s v="ok"/>
    <s v="do wywołania"/>
    <s v="Raflatac Raflacoat RH9X 155mm"/>
    <s v="24.11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287/2015-3"/>
    <x v="160"/>
    <x v="18"/>
    <m/>
    <d v="2015-12-09T00:00:00"/>
    <n v="22"/>
    <d v="2015-12-09T00:00:00"/>
    <x v="1"/>
    <s v="."/>
    <n v="84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252/2015-2"/>
    <x v="116"/>
    <x v="1"/>
    <m/>
    <d v="2015-11-30T00:00:00"/>
    <n v="23"/>
    <d v="2015-11-30T00:00:00"/>
    <x v="47"/>
    <s v="."/>
    <n v="381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28/2015-2"/>
    <x v="99"/>
    <x v="9"/>
    <d v="2015-11-24T00:00:00"/>
    <d v="1900-01-02T00:00:00"/>
    <n v="23"/>
    <d v="2015-11-27T00:00:00"/>
    <x v="44"/>
    <s v="."/>
    <n v="80"/>
    <s v="."/>
    <s v="."/>
    <s v="."/>
    <s v="."/>
    <s v="."/>
    <s v="."/>
    <s v="."/>
    <m/>
    <s v="TB"/>
    <n v="0.5"/>
    <s v="Tkacz"/>
    <d v="2015-11-24T00:00:00"/>
    <m/>
    <x v="0"/>
    <s v="."/>
    <s v="."/>
    <s v="."/>
    <s v="."/>
    <s v="."/>
    <s v="."/>
    <s v="."/>
    <s v="."/>
    <x v="0"/>
    <x v="0"/>
    <x v="0"/>
  </r>
  <r>
    <s v="6305/2015-1"/>
    <x v="176"/>
    <x v="4"/>
    <d v="2015-11-25T00:00:00"/>
    <d v="1900-01-07T00:00:00"/>
    <n v="14"/>
    <d v="2015-12-03T00:00:00"/>
    <x v="66"/>
    <s v="."/>
    <n v="476"/>
    <n v="600"/>
    <n v="75"/>
    <s v="nowy"/>
    <s v="ok"/>
    <s v="do wywołania"/>
    <s v="Raflatac Raflacoat RH9X 155mm"/>
    <s v="24.11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289/2015-3"/>
    <x v="161"/>
    <x v="18"/>
    <m/>
    <d v="2015-12-09T00:00:00"/>
    <n v="23"/>
    <d v="2015-12-09T00:00:00"/>
    <x v="1"/>
    <s v="."/>
    <n v="1100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240/2015-4"/>
    <x v="109"/>
    <x v="1"/>
    <m/>
    <d v="2015-11-30T00:00:00"/>
    <n v="24"/>
    <d v="2015-11-30T00:00:00"/>
    <x v="20"/>
    <s v="."/>
    <n v="340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29/2015-2"/>
    <x v="100"/>
    <x v="9"/>
    <m/>
    <d v="2015-11-30T00:00:00"/>
    <n v="19"/>
    <d v="2015-11-30T00:00:00"/>
    <x v="44"/>
    <s v="."/>
    <n v="2381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0"/>
    <x v="0"/>
    <x v="0"/>
  </r>
  <r>
    <s v="6304/2015-1"/>
    <x v="177"/>
    <x v="4"/>
    <d v="2015-11-25T00:00:00"/>
    <d v="1900-01-07T00:00:00"/>
    <n v="15"/>
    <d v="2015-12-03T00:00:00"/>
    <x v="66"/>
    <s v="."/>
    <n v="314"/>
    <n v="500"/>
    <n v="132"/>
    <s v="nowy"/>
    <s v="ok"/>
    <s v="do wywołania"/>
    <s v="Raflatac Raflacoat RH9X 220mm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3/2015-1"/>
    <x v="178"/>
    <x v="4"/>
    <d v="2015-11-25T00:00:00"/>
    <d v="1900-01-07T00:00:00"/>
    <n v="16"/>
    <d v="2015-12-03T00:00:00"/>
    <x v="66"/>
    <s v="."/>
    <n v="314"/>
    <n v="500"/>
    <n v="132"/>
    <s v="nowy"/>
    <s v="ok"/>
    <s v="do wywołania"/>
    <s v="Raflatac Raflacoat RH9X 220mm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291/2015-3"/>
    <x v="26"/>
    <x v="18"/>
    <m/>
    <d v="2015-12-09T00:00:00"/>
    <n v="24"/>
    <d v="2015-12-09T00:00:00"/>
    <x v="1"/>
    <s v="."/>
    <n v="275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239/2015-3"/>
    <x v="108"/>
    <x v="1"/>
    <m/>
    <d v="2015-11-30T00:00:00"/>
    <n v="25"/>
    <d v="2015-11-30T00:00:00"/>
    <x v="20"/>
    <s v="."/>
    <n v="106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42/2015-2"/>
    <x v="35"/>
    <x v="9"/>
    <d v="2015-11-24T00:00:00"/>
    <d v="1900-01-05T00:00:00"/>
    <n v="25"/>
    <d v="2015-11-30T00:00:00"/>
    <x v="21"/>
    <s v="."/>
    <n v="112"/>
    <s v="."/>
    <s v="."/>
    <s v="."/>
    <s v="."/>
    <s v="."/>
    <s v="."/>
    <s v="."/>
    <m/>
    <s v="IP"/>
    <n v="1"/>
    <s v="Tkacz"/>
    <d v="2015-11-24T00:00:00"/>
    <m/>
    <x v="0"/>
    <s v="."/>
    <s v="."/>
    <s v="."/>
    <s v="."/>
    <s v="."/>
    <s v="."/>
    <s v="."/>
    <s v="."/>
    <x v="0"/>
    <x v="0"/>
    <x v="0"/>
  </r>
  <r>
    <s v="6302/2015-1"/>
    <x v="179"/>
    <x v="4"/>
    <d v="2015-11-25T00:00:00"/>
    <d v="1900-01-07T00:00:00"/>
    <n v="17"/>
    <d v="2015-12-03T00:00:00"/>
    <x v="66"/>
    <s v="."/>
    <n v="314"/>
    <n v="500"/>
    <n v="132"/>
    <s v="nowy"/>
    <s v="ok"/>
    <s v="do wywołania"/>
    <s v="Raflatac Raflacoat RH9X 220mm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241/2015-3"/>
    <x v="115"/>
    <x v="1"/>
    <m/>
    <d v="2015-12-01T00:00:00"/>
    <n v="26"/>
    <d v="2015-12-01T00:00:00"/>
    <x v="20"/>
    <s v="."/>
    <n v="627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261/2015-2"/>
    <x v="111"/>
    <x v="9"/>
    <d v="2015-11-24T00:00:00"/>
    <d v="1900-01-05T00:00:00"/>
    <n v="26"/>
    <d v="2015-11-30T00:00:00"/>
    <x v="18"/>
    <s v="."/>
    <n v="30"/>
    <s v="."/>
    <s v="."/>
    <s v="."/>
    <s v="."/>
    <s v="."/>
    <s v="."/>
    <s v="."/>
    <m/>
    <s v="KC"/>
    <n v="0.17"/>
    <s v="Tkacz"/>
    <d v="2015-11-24T00:00:00"/>
    <m/>
    <x v="0"/>
    <s v="."/>
    <s v="."/>
    <s v="."/>
    <s v="."/>
    <s v="."/>
    <s v="."/>
    <s v="."/>
    <s v="."/>
    <x v="0"/>
    <x v="0"/>
    <x v="0"/>
  </r>
  <r>
    <s v="6301/2015-1"/>
    <x v="180"/>
    <x v="4"/>
    <d v="2015-11-25T00:00:00"/>
    <d v="1900-01-07T00:00:00"/>
    <n v="18"/>
    <d v="2015-12-03T00:00:00"/>
    <x v="66"/>
    <s v="."/>
    <n v="314"/>
    <n v="500"/>
    <n v="132"/>
    <s v="nowy"/>
    <s v="ok"/>
    <s v="do wywołania"/>
    <s v="Raflatac Raflacoat RH9X 220mm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5917/2015-2"/>
    <x v="51"/>
    <x v="1"/>
    <m/>
    <d v="2015-12-01T00:00:00"/>
    <n v="27"/>
    <d v="2015-12-01T00:00:00"/>
    <x v="27"/>
    <s v="."/>
    <n v="63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59/2015-2"/>
    <x v="114"/>
    <x v="9"/>
    <d v="2015-11-24T00:00:00"/>
    <d v="1900-01-05T00:00:00"/>
    <n v="27"/>
    <d v="2015-11-30T00:00:00"/>
    <x v="18"/>
    <s v="."/>
    <n v="30"/>
    <s v="."/>
    <s v="."/>
    <s v="."/>
    <s v="."/>
    <s v="."/>
    <s v="."/>
    <s v="."/>
    <m/>
    <s v="KC"/>
    <n v="0.17"/>
    <s v="Tkacz"/>
    <d v="2015-11-24T00:00:00"/>
    <m/>
    <x v="0"/>
    <s v="."/>
    <s v="."/>
    <s v="."/>
    <s v="."/>
    <s v="."/>
    <s v="."/>
    <s v="."/>
    <s v="."/>
    <x v="0"/>
    <x v="0"/>
    <x v="0"/>
  </r>
  <r>
    <s v="6300/2015-1"/>
    <x v="181"/>
    <x v="4"/>
    <d v="2015-11-25T00:00:00"/>
    <d v="1900-01-07T00:00:00"/>
    <n v="19"/>
    <d v="2015-12-03T00:00:00"/>
    <x v="66"/>
    <s v="."/>
    <n v="314"/>
    <n v="500"/>
    <n v="132"/>
    <s v="nowy"/>
    <s v="ok"/>
    <s v="do wywołania"/>
    <s v="Raflatac Raflacoat RH9X 220mm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5568/2015-1"/>
    <x v="59"/>
    <x v="1"/>
    <m/>
    <d v="2015-12-01T00:00:00"/>
    <n v="28"/>
    <d v="2015-12-01T00:00:00"/>
    <x v="2"/>
    <s v="."/>
    <n v="36"/>
    <n v="300"/>
    <n v="72"/>
    <s v="."/>
    <s v="ok"/>
    <s v="."/>
    <s v="Avery PET Transfer Matt silver 8020 205mm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336/2015-2"/>
    <x v="114"/>
    <x v="9"/>
    <d v="2015-11-24T00:00:00"/>
    <d v="1900-01-07T00:00:00"/>
    <n v="28"/>
    <d v="2015-12-02T00:00:00"/>
    <x v="18"/>
    <s v="."/>
    <n v="30"/>
    <s v="."/>
    <s v="."/>
    <s v="."/>
    <s v="."/>
    <s v="."/>
    <s v="."/>
    <s v="."/>
    <m/>
    <s v="KC"/>
    <n v="0.5"/>
    <s v="Tkacz"/>
    <d v="2015-11-24T00:00:00"/>
    <m/>
    <x v="0"/>
    <s v="."/>
    <s v="."/>
    <s v="."/>
    <s v="."/>
    <s v="."/>
    <s v="."/>
    <s v="."/>
    <s v="."/>
    <x v="1"/>
    <x v="0"/>
    <x v="0"/>
  </r>
  <r>
    <s v="6336/2015-1"/>
    <x v="114"/>
    <x v="4"/>
    <d v="2015-11-24T00:00:00"/>
    <d v="1900-01-07T00:00:00"/>
    <n v="100"/>
    <d v="2015-12-02T00:00:00"/>
    <x v="18"/>
    <s v="."/>
    <n v="30"/>
    <n v="200"/>
    <n v="67"/>
    <s v="ok"/>
    <s v="ok"/>
    <s v="ok"/>
    <s v="bazowe"/>
    <s v="."/>
    <m/>
    <s v="KC"/>
    <n v="0.33"/>
    <s v="Placek"/>
    <d v="2015-11-24T00:00:00"/>
    <m/>
    <x v="0"/>
    <s v="."/>
    <s v="."/>
    <s v="."/>
    <s v="."/>
    <s v="."/>
    <s v="."/>
    <s v="."/>
    <s v="."/>
    <x v="1"/>
    <x v="0"/>
    <x v="0"/>
  </r>
  <r>
    <s v="6240/2015-3"/>
    <x v="109"/>
    <x v="4"/>
    <d v="2015-11-23T00:00:00"/>
    <d v="1900-01-06T00:00:00"/>
    <n v="20"/>
    <d v="2015-11-30T00:00:00"/>
    <x v="20"/>
    <s v="."/>
    <n v="340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77/2015-2"/>
    <x v="132"/>
    <x v="1"/>
    <m/>
    <d v="2015-12-01T00:00:00"/>
    <n v="29"/>
    <d v="2015-12-01T00:00:00"/>
    <x v="53"/>
    <s v="."/>
    <n v="111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52/2015-3"/>
    <x v="116"/>
    <x v="9"/>
    <m/>
    <d v="2015-11-30T00:00:00"/>
    <n v="20"/>
    <d v="2015-11-30T00:00:00"/>
    <x v="47"/>
    <s v="."/>
    <n v="381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349/2015-1"/>
    <x v="189"/>
    <x v="4"/>
    <d v="2015-11-25T00:00:00"/>
    <d v="1900-01-07T00:00:00"/>
    <n v="21"/>
    <d v="2015-12-03T00:00:00"/>
    <x v="70"/>
    <s v="."/>
    <n v="38"/>
    <n v="300"/>
    <n v="120"/>
    <s v="ok"/>
    <s v="ok"/>
    <s v="do wywołania"/>
    <s v="Avery AFJ042 250mm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276/2015-2"/>
    <x v="133"/>
    <x v="1"/>
    <m/>
    <d v="2015-12-01T00:00:00"/>
    <n v="30"/>
    <d v="2015-12-01T00:00:00"/>
    <x v="53"/>
    <s v="."/>
    <n v="91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64/2015-2"/>
    <x v="162"/>
    <x v="9"/>
    <m/>
    <d v="2015-11-30T00:00:00"/>
    <n v="21"/>
    <d v="2015-11-30T00:00:00"/>
    <x v="62"/>
    <s v="."/>
    <n v="4497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0"/>
    <x v="0"/>
    <x v="0"/>
  </r>
  <r>
    <s v="6354/2015-1"/>
    <x v="203"/>
    <x v="4"/>
    <d v="2015-11-25T00:00:00"/>
    <d v="1900-01-07T00:00:00"/>
    <n v="22"/>
    <d v="2015-12-03T00:00:00"/>
    <x v="12"/>
    <s v="."/>
    <n v="38"/>
    <n v="300"/>
    <n v="80"/>
    <s v="ok"/>
    <s v="ok"/>
    <s v="do wywołania"/>
    <s v="Raflatac Raflacoat RH9X 220mm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75/2015-2"/>
    <x v="134"/>
    <x v="1"/>
    <m/>
    <d v="2015-12-01T00:00:00"/>
    <n v="31"/>
    <d v="2015-12-01T00:00:00"/>
    <x v="53"/>
    <s v="."/>
    <n v="65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5917/2015-3"/>
    <x v="51"/>
    <x v="9"/>
    <m/>
    <d v="2015-12-01T00:00:00"/>
    <n v="22"/>
    <d v="2015-12-01T00:00:00"/>
    <x v="27"/>
    <s v="."/>
    <n v="63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57/2015-1"/>
    <x v="210"/>
    <x v="4"/>
    <d v="2015-11-25T00:00:00"/>
    <d v="1900-01-07T00:00:00"/>
    <n v="23"/>
    <d v="2015-12-03T00:00:00"/>
    <x v="12"/>
    <s v="."/>
    <n v="122"/>
    <n v="400"/>
    <n v="77"/>
    <s v="ok"/>
    <s v="ok"/>
    <s v="do wywołania"/>
    <s v="Raflatac PE Gloss white TC85 RP37 175mm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74/2015-2"/>
    <x v="135"/>
    <x v="1"/>
    <m/>
    <d v="2015-12-01T00:00:00"/>
    <n v="32"/>
    <d v="2015-12-01T00:00:00"/>
    <x v="53"/>
    <s v="."/>
    <n v="32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5142/2015-2"/>
    <x v="63"/>
    <x v="9"/>
    <d v="2015-11-24T00:00:00"/>
    <d v="1900-01-06T00:00:00"/>
    <n v="32"/>
    <d v="2015-12-01T00:00:00"/>
    <x v="27"/>
    <s v="."/>
    <s v="."/>
    <s v="."/>
    <s v="."/>
    <s v="."/>
    <s v="."/>
    <s v="."/>
    <s v="."/>
    <s v="."/>
    <m/>
    <s v="KC"/>
    <n v="2"/>
    <s v="Tkacz"/>
    <d v="2015-11-24T00:00:00"/>
    <m/>
    <x v="0"/>
    <s v="."/>
    <s v="."/>
    <s v="."/>
    <s v="."/>
    <s v="."/>
    <s v="."/>
    <s v="."/>
    <s v="."/>
    <x v="1"/>
    <x v="0"/>
    <x v="0"/>
  </r>
  <r>
    <s v="6355/2015-1"/>
    <x v="211"/>
    <x v="4"/>
    <m/>
    <d v="2015-12-03T00:00:00"/>
    <n v="24"/>
    <d v="2015-12-03T00:00:00"/>
    <x v="12"/>
    <s v="."/>
    <n v="119"/>
    <n v="400"/>
    <n v="75"/>
    <s v="ok"/>
    <s v="ok"/>
    <s v="ok"/>
    <s v="bazowe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73/2015-2"/>
    <x v="126"/>
    <x v="9"/>
    <m/>
    <d v="2015-12-01T00:00:00"/>
    <n v="23"/>
    <d v="2015-12-01T00:00:00"/>
    <x v="51"/>
    <s v="."/>
    <n v="228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313/2015-2"/>
    <x v="152"/>
    <x v="1"/>
    <m/>
    <d v="2015-12-01T00:00:00"/>
    <n v="33"/>
    <d v="2015-12-01T00:00:00"/>
    <x v="58"/>
    <s v="."/>
    <n v="104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46/2015-1"/>
    <x v="190"/>
    <x v="4"/>
    <d v="2015-11-25T00:00:00"/>
    <d v="1900-01-08T00:00:00"/>
    <n v="25"/>
    <d v="2015-12-04T00:00:00"/>
    <x v="8"/>
    <s v="."/>
    <n v="108"/>
    <n v="300"/>
    <n v="96"/>
    <s v="ok"/>
    <s v="ok"/>
    <s v="do wywołania"/>
    <s v="Raflatac optimum extra RP51 200mm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78/2015-2"/>
    <x v="129"/>
    <x v="9"/>
    <m/>
    <d v="2015-12-01T00:00:00"/>
    <n v="24"/>
    <d v="2015-12-01T00:00:00"/>
    <x v="3"/>
    <s v="."/>
    <n v="101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283/2015-3"/>
    <x v="139"/>
    <x v="1"/>
    <m/>
    <d v="2015-12-04T00:00:00"/>
    <n v="34"/>
    <d v="2015-12-04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częściowo"/>
    <s v="."/>
    <s v="."/>
    <s v="."/>
    <s v="."/>
    <s v="."/>
    <s v="."/>
    <s v="."/>
    <x v="1"/>
    <x v="0"/>
    <x v="0"/>
  </r>
  <r>
    <s v="6277/2015-3"/>
    <x v="132"/>
    <x v="9"/>
    <m/>
    <d v="2015-12-01T00:00:00"/>
    <n v="25"/>
    <d v="2015-12-01T00:00:00"/>
    <x v="53"/>
    <s v="."/>
    <n v="111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82/2015-3"/>
    <x v="17"/>
    <x v="1"/>
    <m/>
    <d v="2015-12-04T00:00:00"/>
    <n v="35"/>
    <d v="2015-12-04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częściowo"/>
    <s v="."/>
    <s v="."/>
    <s v="."/>
    <s v="."/>
    <s v="."/>
    <s v="."/>
    <s v="."/>
    <x v="1"/>
    <x v="0"/>
    <x v="0"/>
  </r>
  <r>
    <s v="6276/2015-3"/>
    <x v="133"/>
    <x v="9"/>
    <m/>
    <d v="2015-12-01T00:00:00"/>
    <n v="26"/>
    <d v="2015-12-01T00:00:00"/>
    <x v="53"/>
    <s v="."/>
    <n v="91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71/2015-2"/>
    <x v="120"/>
    <x v="1"/>
    <m/>
    <d v="2015-12-02T00:00:00"/>
    <n v="36"/>
    <d v="2015-12-02T00:00:00"/>
    <x v="50"/>
    <s v="."/>
    <n v="202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75/2015-3"/>
    <x v="134"/>
    <x v="9"/>
    <m/>
    <d v="2015-12-01T00:00:00"/>
    <n v="27"/>
    <d v="2015-12-01T00:00:00"/>
    <x v="53"/>
    <s v="."/>
    <n v="65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S-D1-11/2015"/>
    <x v="6"/>
    <x v="6"/>
    <d v="2015-11-24T00:00:00"/>
    <d v="1899-12-31T00:00:00"/>
    <n v="1"/>
    <d v="2015-11-25T00:00:00"/>
    <x v="6"/>
    <s v="."/>
    <s v="."/>
    <s v="."/>
    <s v="."/>
    <s v="."/>
    <s v="."/>
    <s v="."/>
    <s v="."/>
    <s v="."/>
    <m/>
    <s v="."/>
    <m/>
    <s v="Górski"/>
    <d v="2015-11-25T00:00:00"/>
    <m/>
    <x v="1"/>
    <s v="."/>
    <s v="."/>
    <n v="650"/>
    <s v="."/>
    <s v="."/>
    <s v="."/>
    <s v="."/>
    <s v="."/>
    <x v="0"/>
    <x v="0"/>
    <x v="0"/>
  </r>
  <r>
    <s v="6274/2015-3"/>
    <x v="135"/>
    <x v="9"/>
    <m/>
    <d v="2015-12-01T00:00:00"/>
    <n v="28"/>
    <d v="2015-12-01T00:00:00"/>
    <x v="53"/>
    <s v="."/>
    <n v="32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85/2015-4"/>
    <x v="97"/>
    <x v="1"/>
    <m/>
    <d v="2015-12-04T00:00:00"/>
    <n v="38"/>
    <d v="2015-12-04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do dokończenia"/>
    <s v="."/>
    <s v="."/>
    <s v="."/>
    <s v="."/>
    <s v="."/>
    <s v="."/>
    <s v="."/>
    <x v="1"/>
    <x v="0"/>
    <x v="0"/>
  </r>
  <r>
    <s v="6283/2015-3"/>
    <x v="139"/>
    <x v="1"/>
    <m/>
    <d v="2015-12-04T00:00:00"/>
    <n v="39"/>
    <d v="2015-12-04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do dokończenia"/>
    <s v="."/>
    <s v="."/>
    <s v="."/>
    <s v="."/>
    <s v="."/>
    <s v="."/>
    <s v="."/>
    <x v="1"/>
    <x v="0"/>
    <x v="0"/>
  </r>
  <r>
    <s v="6282/2015-3"/>
    <x v="17"/>
    <x v="1"/>
    <m/>
    <d v="2015-12-04T00:00:00"/>
    <n v="40"/>
    <d v="2015-12-04T00:00:00"/>
    <x v="14"/>
    <s v="."/>
    <n v="304"/>
    <s v="."/>
    <s v="."/>
    <s v="."/>
    <s v="."/>
    <s v="."/>
    <s v="."/>
    <s v="."/>
    <m/>
    <s v="IP"/>
    <m/>
    <s v="."/>
    <m/>
    <d v="2015-12-01T00:00:00"/>
    <x v="1"/>
    <s v="do dokończenia"/>
    <s v="."/>
    <s v="."/>
    <s v="."/>
    <s v="."/>
    <s v="."/>
    <s v="."/>
    <s v="."/>
    <x v="1"/>
    <x v="0"/>
    <x v="0"/>
  </r>
  <r>
    <s v="6337/2015-4"/>
    <x v="29"/>
    <x v="1"/>
    <m/>
    <d v="2015-11-27T00:00:00"/>
    <n v="41"/>
    <d v="2015-12-02T00:00:00"/>
    <x v="14"/>
    <s v="."/>
    <n v="304"/>
    <s v="."/>
    <s v="."/>
    <s v="."/>
    <s v="."/>
    <s v="."/>
    <s v="."/>
    <s v="."/>
    <m/>
    <s v="IP"/>
    <m/>
    <s v="."/>
    <m/>
    <d v="2015-12-02T00:00:00"/>
    <x v="1"/>
    <s v="do dokończenia"/>
    <s v="."/>
    <s v="."/>
    <s v="."/>
    <s v="."/>
    <s v="."/>
    <s v="."/>
    <s v="."/>
    <x v="1"/>
    <x v="0"/>
    <x v="0"/>
  </r>
  <r>
    <s v="6309/2015-2"/>
    <x v="172"/>
    <x v="1"/>
    <m/>
    <d v="2015-12-03T00:00:00"/>
    <n v="42"/>
    <d v="2015-12-03T00:00:00"/>
    <x v="66"/>
    <s v="."/>
    <n v="476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8/2015-2"/>
    <x v="173"/>
    <x v="1"/>
    <m/>
    <d v="2015-12-03T00:00:00"/>
    <n v="43"/>
    <d v="2015-12-03T00:00:00"/>
    <x v="66"/>
    <s v="."/>
    <n v="476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7/2015-2"/>
    <x v="174"/>
    <x v="1"/>
    <m/>
    <d v="2015-12-03T00:00:00"/>
    <n v="44"/>
    <d v="2015-12-03T00:00:00"/>
    <x v="66"/>
    <s v="."/>
    <n v="476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6/2015-2"/>
    <x v="175"/>
    <x v="1"/>
    <m/>
    <d v="2015-12-03T00:00:00"/>
    <n v="45"/>
    <d v="2015-12-03T00:00:00"/>
    <x v="66"/>
    <s v="."/>
    <n v="476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5/2015-2"/>
    <x v="176"/>
    <x v="1"/>
    <m/>
    <d v="2015-12-03T00:00:00"/>
    <n v="46"/>
    <d v="2015-12-03T00:00:00"/>
    <x v="66"/>
    <s v="."/>
    <n v="476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4/2015-2"/>
    <x v="177"/>
    <x v="1"/>
    <m/>
    <d v="2015-12-03T00:00:00"/>
    <n v="47"/>
    <d v="2015-12-03T00:00:00"/>
    <x v="66"/>
    <s v="."/>
    <n v="314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3/2015-2"/>
    <x v="178"/>
    <x v="1"/>
    <m/>
    <d v="2015-12-03T00:00:00"/>
    <n v="48"/>
    <d v="2015-12-03T00:00:00"/>
    <x v="66"/>
    <s v="."/>
    <n v="314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2/2015-2"/>
    <x v="179"/>
    <x v="1"/>
    <m/>
    <d v="2015-12-03T00:00:00"/>
    <n v="49"/>
    <d v="2015-12-03T00:00:00"/>
    <x v="66"/>
    <s v="."/>
    <n v="314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1/2015-2"/>
    <x v="180"/>
    <x v="1"/>
    <m/>
    <d v="2015-12-03T00:00:00"/>
    <n v="50"/>
    <d v="2015-12-03T00:00:00"/>
    <x v="66"/>
    <s v="."/>
    <n v="314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0/2015-2"/>
    <x v="181"/>
    <x v="1"/>
    <m/>
    <d v="2015-12-03T00:00:00"/>
    <n v="51"/>
    <d v="2015-12-03T00:00:00"/>
    <x v="66"/>
    <s v="."/>
    <n v="314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27/2015-3"/>
    <x v="168"/>
    <x v="1"/>
    <m/>
    <d v="2015-12-02T00:00:00"/>
    <n v="52"/>
    <d v="2015-12-02T00:00:00"/>
    <x v="20"/>
    <s v="."/>
    <n v="212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354/2015-1"/>
    <x v="203"/>
    <x v="1"/>
    <m/>
    <d v="2015-12-03T00:00:00"/>
    <n v="52"/>
    <d v="2015-12-03T00:00:00"/>
    <x v="12"/>
    <s v="."/>
    <n v="38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30/2015-3"/>
    <x v="169"/>
    <x v="1"/>
    <m/>
    <d v="2015-12-02T00:00:00"/>
    <n v="53"/>
    <d v="2015-12-02T00:00:00"/>
    <x v="65"/>
    <s v="."/>
    <n v="100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349/2015-2"/>
    <x v="189"/>
    <x v="1"/>
    <m/>
    <d v="2015-12-03T00:00:00"/>
    <n v="54"/>
    <d v="2015-12-03T00:00:00"/>
    <x v="70"/>
    <s v="."/>
    <n v="38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348/2015-2"/>
    <x v="196"/>
    <x v="1"/>
    <m/>
    <d v="2015-12-04T00:00:00"/>
    <n v="55"/>
    <d v="2015-12-04T00:00:00"/>
    <x v="8"/>
    <s v="."/>
    <n v="249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47/2015-2"/>
    <x v="197"/>
    <x v="1"/>
    <m/>
    <d v="2015-12-04T00:00:00"/>
    <n v="56"/>
    <d v="2015-12-04T00:00:00"/>
    <x v="8"/>
    <s v="."/>
    <n v="304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63/2015-2"/>
    <x v="146"/>
    <x v="1"/>
    <m/>
    <d v="2015-12-04T00:00:00"/>
    <n v="57"/>
    <d v="2015-12-04T00:00:00"/>
    <x v="56"/>
    <s v="."/>
    <n v="2"/>
    <s v="."/>
    <s v="."/>
    <s v="."/>
    <s v="."/>
    <s v="."/>
    <s v="."/>
    <s v="."/>
    <m/>
    <s v="TB"/>
    <m/>
    <s v="."/>
    <m/>
    <d v="2015-11-26T00:00:00"/>
    <x v="1"/>
    <s v="."/>
    <s v="."/>
    <s v="."/>
    <s v="."/>
    <s v="."/>
    <s v="."/>
    <s v="."/>
    <s v="."/>
    <x v="1"/>
    <x v="0"/>
    <x v="0"/>
  </r>
  <r>
    <s v="6262/2015-2"/>
    <x v="145"/>
    <x v="1"/>
    <m/>
    <d v="2015-12-04T00:00:00"/>
    <n v="58"/>
    <d v="2015-12-04T00:00:00"/>
    <x v="56"/>
    <s v="."/>
    <n v="1"/>
    <s v="."/>
    <s v="."/>
    <s v="."/>
    <s v="."/>
    <s v="."/>
    <s v="."/>
    <s v="."/>
    <m/>
    <s v="TB"/>
    <m/>
    <s v="."/>
    <m/>
    <d v="2015-11-26T00:00:00"/>
    <x v="1"/>
    <s v="."/>
    <s v="."/>
    <s v="."/>
    <s v="."/>
    <s v="."/>
    <s v="."/>
    <s v="."/>
    <s v="."/>
    <x v="1"/>
    <x v="0"/>
    <x v="0"/>
  </r>
  <r>
    <s v="4494/2015-2"/>
    <x v="6"/>
    <x v="1"/>
    <d v="2015-10-07T00:00:00"/>
    <d v="1900-04-01T00:00:00"/>
    <n v="98"/>
    <d v="2016-01-07T00:00:00"/>
    <x v="36"/>
    <s v="."/>
    <n v="635"/>
    <n v="750"/>
    <n v="80"/>
    <s v="."/>
    <s v="ok"/>
    <s v="."/>
    <s v="."/>
    <s v="."/>
    <m/>
    <s v="MŁ"/>
    <m/>
    <s v="Pawlik/Smagała"/>
    <m/>
    <d v="2015-12-28T00:00:00"/>
    <x v="1"/>
    <s v="."/>
    <s v="."/>
    <s v="."/>
    <s v="."/>
    <s v="."/>
    <s v="."/>
    <s v="."/>
    <s v="."/>
    <x v="2"/>
    <x v="0"/>
    <x v="0"/>
  </r>
  <r>
    <s v="4495/2015-2"/>
    <x v="6"/>
    <x v="1"/>
    <m/>
    <d v="2016-02-01T00:00:00"/>
    <n v="99"/>
    <d v="2016-02-01T00:00:00"/>
    <x v="36"/>
    <s v="."/>
    <n v="635"/>
    <n v="750"/>
    <n v="80"/>
    <s v="."/>
    <s v="ok"/>
    <s v="."/>
    <s v="."/>
    <s v="."/>
    <m/>
    <s v="MŁ"/>
    <m/>
    <s v="."/>
    <m/>
    <d v="2016-01-18T00:00:00"/>
    <x v="1"/>
    <s v="."/>
    <s v="."/>
    <s v="."/>
    <s v="."/>
    <s v="."/>
    <s v="."/>
    <s v="."/>
    <s v="."/>
    <x v="3"/>
    <x v="0"/>
    <x v="0"/>
  </r>
  <r>
    <s v="6187/2015-1"/>
    <x v="93"/>
    <x v="8"/>
    <d v="2015-11-26T00:00:00"/>
    <d v="1900-01-04T00:00:00"/>
    <n v="5"/>
    <d v="2015-12-01T00:00:00"/>
    <x v="35"/>
    <s v="."/>
    <n v="5429"/>
    <n v="5800"/>
    <n v="120"/>
    <s v="."/>
    <s v="ok"/>
    <s v="do wywołania"/>
    <s v="Avery PP Transfer TR 75 MT WH z UL 8020 200mm"/>
    <s v="800mb jest, 5000mb 24.11"/>
    <m/>
    <s v="MŁ"/>
    <m/>
    <s v="."/>
    <m/>
    <m/>
    <x v="1"/>
    <s v="."/>
    <s v="."/>
    <s v="."/>
    <s v="."/>
    <s v="."/>
    <s v="."/>
    <s v="."/>
    <s v="."/>
    <x v="1"/>
    <x v="0"/>
    <x v="0"/>
  </r>
  <r>
    <s v="6255/2015-2"/>
    <x v="136"/>
    <x v="9"/>
    <m/>
    <d v="2015-11-30T00:00:00"/>
    <n v="29"/>
    <d v="2015-11-30T00:00:00"/>
    <x v="54"/>
    <s v="."/>
    <n v="508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54/2015-2"/>
    <x v="137"/>
    <x v="9"/>
    <m/>
    <d v="2015-11-30T00:00:00"/>
    <n v="30"/>
    <d v="2015-11-30T00:00:00"/>
    <x v="54"/>
    <s v="."/>
    <n v="152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53/2015-2"/>
    <x v="138"/>
    <x v="9"/>
    <m/>
    <d v="2015-11-30T00:00:00"/>
    <n v="31"/>
    <d v="2015-11-30T00:00:00"/>
    <x v="54"/>
    <s v="."/>
    <n v="152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6286/2015-2"/>
    <x v="140"/>
    <x v="9"/>
    <m/>
    <d v="2015-12-01T00:00:00"/>
    <n v="32"/>
    <d v="2015-12-01T00:00:00"/>
    <x v="1"/>
    <s v="."/>
    <n v="2201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292/2015-2"/>
    <x v="143"/>
    <x v="9"/>
    <m/>
    <d v="2015-12-01T00:00:00"/>
    <n v="33"/>
    <d v="2015-12-01T00:00:00"/>
    <x v="1"/>
    <s v="."/>
    <n v="115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295/2015-2"/>
    <x v="144"/>
    <x v="9"/>
    <m/>
    <d v="2015-12-01T00:00:00"/>
    <n v="34"/>
    <d v="2015-12-01T00:00:00"/>
    <x v="1"/>
    <s v="."/>
    <n v="814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296/2015-2"/>
    <x v="52"/>
    <x v="9"/>
    <m/>
    <d v="2015-12-01T00:00:00"/>
    <n v="35"/>
    <d v="2015-12-01T00:00:00"/>
    <x v="1"/>
    <s v="."/>
    <n v="2641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238/2015-2"/>
    <x v="147"/>
    <x v="9"/>
    <m/>
    <d v="2015-11-30T00:00:00"/>
    <n v="36"/>
    <d v="2015-11-30T00:00:00"/>
    <x v="52"/>
    <s v="."/>
    <n v="5715"/>
    <s v="."/>
    <s v="."/>
    <s v="."/>
    <s v="."/>
    <s v="."/>
    <s v="."/>
    <s v="."/>
    <m/>
    <s v="IP"/>
    <m/>
    <s v="."/>
    <m/>
    <d v="2015-11-30T00:00:00"/>
    <x v="1"/>
    <s v="dokończenie"/>
    <s v="."/>
    <s v="."/>
    <s v="."/>
    <s v="."/>
    <s v="."/>
    <s v="."/>
    <s v="."/>
    <x v="0"/>
    <x v="0"/>
    <x v="0"/>
  </r>
  <r>
    <s v="6297/2015-2"/>
    <x v="148"/>
    <x v="9"/>
    <m/>
    <d v="2015-12-01T00:00:00"/>
    <n v="37"/>
    <d v="2015-12-01T00:00:00"/>
    <x v="1"/>
    <s v="."/>
    <n v="431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293/2015-2"/>
    <x v="149"/>
    <x v="9"/>
    <m/>
    <d v="2015-12-01T00:00:00"/>
    <n v="38"/>
    <d v="2015-12-01T00:00:00"/>
    <x v="1"/>
    <s v="."/>
    <n v="816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284/2015-2"/>
    <x v="150"/>
    <x v="9"/>
    <m/>
    <d v="2015-12-01T00:00:00"/>
    <n v="39"/>
    <d v="2015-12-01T00:00:00"/>
    <x v="57"/>
    <s v="."/>
    <n v="5486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313/2015-3"/>
    <x v="152"/>
    <x v="9"/>
    <m/>
    <d v="2015-12-01T00:00:00"/>
    <n v="40"/>
    <d v="2015-12-01T00:00:00"/>
    <x v="58"/>
    <s v="."/>
    <n v="104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90/2015-2"/>
    <x v="151"/>
    <x v="9"/>
    <m/>
    <d v="2015-12-01T00:00:00"/>
    <n v="41"/>
    <d v="2015-12-01T00:00:00"/>
    <x v="14"/>
    <s v="."/>
    <n v="10629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316/2015-2"/>
    <x v="163"/>
    <x v="9"/>
    <m/>
    <d v="2015-12-01T00:00:00"/>
    <n v="42"/>
    <d v="2015-12-01T00:00:00"/>
    <x v="11"/>
    <s v="."/>
    <n v="889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29/2015-2"/>
    <x v="164"/>
    <x v="9"/>
    <m/>
    <d v="2015-12-01T00:00:00"/>
    <n v="43"/>
    <d v="2015-12-01T00:00:00"/>
    <x v="63"/>
    <s v="."/>
    <n v="548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B31/2015-1"/>
    <x v="110"/>
    <x v="15"/>
    <m/>
    <d v="2015-11-26T00:00:00"/>
    <n v="3"/>
    <d v="2015-11-26T00:00:00"/>
    <x v="46"/>
    <s v="80x63, 60x40, 74x74, 65x87, 50x40"/>
    <s v="32000szt"/>
    <s v="."/>
    <s v="."/>
    <s v="."/>
    <s v="."/>
    <s v="."/>
    <s v="."/>
    <s v="."/>
    <m/>
    <s v="IP"/>
    <n v="6"/>
    <s v="Markowski"/>
    <d v="2015-11-24T00:00:00"/>
    <m/>
    <x v="1"/>
    <s v="."/>
    <s v="."/>
    <s v="."/>
    <s v="."/>
    <s v="."/>
    <s v="."/>
    <s v="."/>
    <s v="."/>
    <x v="0"/>
    <x v="0"/>
    <x v="0"/>
  </r>
  <r>
    <s v="6246/2015-2"/>
    <x v="104"/>
    <x v="8"/>
    <m/>
    <d v="2015-12-02T00:00:00"/>
    <n v="100"/>
    <d v="2015-12-02T00:00:00"/>
    <x v="45"/>
    <s v="."/>
    <n v="46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45/2015-2"/>
    <x v="105"/>
    <x v="8"/>
    <m/>
    <d v="2015-12-02T00:00:00"/>
    <n v="100"/>
    <d v="2015-12-02T00:00:00"/>
    <x v="45"/>
    <s v="."/>
    <n v="92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298/2015-2"/>
    <x v="193"/>
    <x v="9"/>
    <m/>
    <d v="2015-12-01T00:00:00"/>
    <n v="44"/>
    <d v="2015-12-01T00:00:00"/>
    <x v="14"/>
    <s v="."/>
    <n v="26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252/2015-1"/>
    <x v="116"/>
    <x v="4"/>
    <d v="2015-11-23T00:00:00"/>
    <d v="1900-01-06T00:00:00"/>
    <n v="10"/>
    <d v="2015-11-30T00:00:00"/>
    <x v="47"/>
    <s v="."/>
    <n v="381"/>
    <n v="600"/>
    <n v="120"/>
    <s v="nowy"/>
    <s v="ok"/>
    <s v="ok"/>
    <s v="Raflatac Raflacoat RH9X 220mm"/>
    <s v="."/>
    <m/>
    <s v="IP"/>
    <n v="0.5"/>
    <s v="Mucha Ł."/>
    <d v="2015-11-23T00:00:00"/>
    <m/>
    <x v="0"/>
    <s v="."/>
    <s v="."/>
    <s v="."/>
    <s v="."/>
    <s v="."/>
    <s v="."/>
    <s v="."/>
    <s v="."/>
    <x v="0"/>
    <x v="0"/>
    <x v="0"/>
  </r>
  <r>
    <s v="6368/2015-2"/>
    <x v="230"/>
    <x v="9"/>
    <m/>
    <d v="2015-11-30T00:00:00"/>
    <n v="45"/>
    <d v="2015-11-30T00:00:00"/>
    <x v="35"/>
    <s v="."/>
    <n v="3058"/>
    <s v="."/>
    <s v="."/>
    <s v="."/>
    <s v="."/>
    <s v="."/>
    <s v="."/>
    <s v="."/>
    <m/>
    <s v="MŁ"/>
    <m/>
    <s v="."/>
    <m/>
    <d v="2015-12-01T00:00:00"/>
    <x v="1"/>
    <s v="."/>
    <s v="."/>
    <s v="."/>
    <s v="."/>
    <s v="."/>
    <s v="."/>
    <s v="."/>
    <s v="."/>
    <x v="0"/>
    <x v="0"/>
    <x v="0"/>
  </r>
  <r>
    <s v="6238/2015-1"/>
    <x v="147"/>
    <x v="2"/>
    <m/>
    <d v="2015-11-30T00:00:00"/>
    <n v="100"/>
    <d v="2015-11-30T00:00:00"/>
    <x v="52"/>
    <s v="."/>
    <n v="5715"/>
    <s v="."/>
    <n v="120"/>
    <s v="ok"/>
    <s v="25.11"/>
    <s v="."/>
    <s v="Antalis TYVEK graficzny 1073D 75g 230mm"/>
    <s v="?"/>
    <m/>
    <s v="IP"/>
    <m/>
    <s v="."/>
    <m/>
    <d v="2015-11-30T00:00:00"/>
    <x v="1"/>
    <s v="dokończenie"/>
    <s v="."/>
    <s v="."/>
    <s v="."/>
    <s v="."/>
    <s v="."/>
    <s v="."/>
    <s v="."/>
    <x v="0"/>
    <x v="0"/>
    <x v="0"/>
  </r>
  <r>
    <s v="6353/2015-2"/>
    <x v="19"/>
    <x v="9"/>
    <m/>
    <d v="2015-11-30T00:00:00"/>
    <n v="46"/>
    <d v="2015-11-30T00:00:00"/>
    <x v="15"/>
    <s v="."/>
    <n v="15240"/>
    <s v="."/>
    <s v="."/>
    <s v="."/>
    <s v="."/>
    <s v="."/>
    <s v="."/>
    <s v="."/>
    <m/>
    <s v="IP"/>
    <m/>
    <s v="."/>
    <m/>
    <d v="2015-12-03T00:00:00"/>
    <x v="1"/>
    <s v="."/>
    <s v="."/>
    <s v="."/>
    <s v="."/>
    <s v="."/>
    <s v="."/>
    <s v="."/>
    <s v="."/>
    <x v="0"/>
    <x v="0"/>
    <x v="0"/>
  </r>
  <r>
    <s v="6287/2015-1"/>
    <x v="160"/>
    <x v="2"/>
    <m/>
    <d v="2015-12-09T00:00:00"/>
    <n v="100"/>
    <d v="2015-12-09T00:00:00"/>
    <x v="1"/>
    <s v="."/>
    <n v="84"/>
    <n v="350"/>
    <n v="80"/>
    <s v="ok"/>
    <s v="ok"/>
    <s v="."/>
    <s v="Raflatac Transfer board 170 RP51 218mm"/>
    <s v="07.12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271/2015-3"/>
    <x v="120"/>
    <x v="9"/>
    <m/>
    <d v="2015-12-02T00:00:00"/>
    <n v="47"/>
    <d v="2015-12-02T00:00:00"/>
    <x v="50"/>
    <s v="."/>
    <n v="202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56/2015-4"/>
    <x v="166"/>
    <x v="9"/>
    <m/>
    <d v="2015-11-26T00:00:00"/>
    <n v="48"/>
    <d v="2015-11-26T00:00:00"/>
    <x v="56"/>
    <s v="."/>
    <n v="38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0"/>
    <x v="0"/>
    <x v="0"/>
  </r>
  <r>
    <s v="6330/2015-4"/>
    <x v="169"/>
    <x v="9"/>
    <m/>
    <d v="2015-12-02T00:00:00"/>
    <n v="49"/>
    <d v="2015-12-02T00:00:00"/>
    <x v="65"/>
    <s v="."/>
    <n v="100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287/2015-2"/>
    <x v="160"/>
    <x v="9"/>
    <m/>
    <d v="2015-12-09T00:00:00"/>
    <n v="100"/>
    <d v="2015-12-09T00:00:00"/>
    <x v="1"/>
    <s v="."/>
    <n v="84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289/2015-2"/>
    <x v="161"/>
    <x v="9"/>
    <m/>
    <d v="2015-12-09T00:00:00"/>
    <n v="100"/>
    <d v="2015-12-09T00:00:00"/>
    <x v="1"/>
    <s v="."/>
    <n v="1100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291/2015-2"/>
    <x v="26"/>
    <x v="9"/>
    <m/>
    <d v="2015-12-09T00:00:00"/>
    <n v="100"/>
    <d v="2015-12-09T00:00:00"/>
    <x v="1"/>
    <s v="."/>
    <n v="275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32/2015-2"/>
    <x v="229"/>
    <x v="9"/>
    <m/>
    <d v="2015-12-02T00:00:00"/>
    <n v="100"/>
    <d v="2015-12-02T00:00:00"/>
    <x v="64"/>
    <s v="."/>
    <n v="3962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309/2015-3"/>
    <x v="172"/>
    <x v="9"/>
    <m/>
    <d v="2015-12-03T00:00:00"/>
    <n v="100"/>
    <d v="2015-12-03T00:00:00"/>
    <x v="66"/>
    <s v="."/>
    <n v="476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8/2015-3"/>
    <x v="173"/>
    <x v="9"/>
    <m/>
    <d v="2015-12-03T00:00:00"/>
    <n v="100"/>
    <d v="2015-12-03T00:00:00"/>
    <x v="66"/>
    <s v="."/>
    <n v="476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7/2015-3"/>
    <x v="174"/>
    <x v="9"/>
    <m/>
    <d v="2015-12-03T00:00:00"/>
    <n v="100"/>
    <d v="2015-12-03T00:00:00"/>
    <x v="66"/>
    <s v="."/>
    <n v="476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6/2015-3"/>
    <x v="175"/>
    <x v="9"/>
    <m/>
    <d v="2015-12-03T00:00:00"/>
    <n v="100"/>
    <d v="2015-12-03T00:00:00"/>
    <x v="66"/>
    <s v="."/>
    <n v="476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5/2015-3"/>
    <x v="176"/>
    <x v="9"/>
    <m/>
    <d v="2015-12-03T00:00:00"/>
    <n v="100"/>
    <d v="2015-12-03T00:00:00"/>
    <x v="66"/>
    <s v="."/>
    <n v="476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4/2015-3"/>
    <x v="177"/>
    <x v="9"/>
    <m/>
    <d v="2015-12-03T00:00:00"/>
    <n v="100"/>
    <d v="2015-12-03T00:00:00"/>
    <x v="66"/>
    <s v="."/>
    <n v="314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289/2015-1"/>
    <x v="161"/>
    <x v="2"/>
    <m/>
    <d v="2015-12-09T00:00:00"/>
    <n v="100"/>
    <d v="2015-12-09T00:00:00"/>
    <x v="1"/>
    <s v="."/>
    <n v="1100"/>
    <n v="1400"/>
    <n v="104"/>
    <s v="ok"/>
    <s v="ok"/>
    <s v="."/>
    <s v="Raflatac Transfer board 170 RP51 218mm"/>
    <s v="07.12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B35/2015-1"/>
    <x v="182"/>
    <x v="15"/>
    <m/>
    <d v="2015-11-27T00:00:00"/>
    <n v="4"/>
    <d v="2015-11-27T00:00:00"/>
    <x v="67"/>
    <s v="100x152,4"/>
    <s v="1500szt"/>
    <s v="."/>
    <s v="."/>
    <s v="."/>
    <s v="."/>
    <s v="."/>
    <s v="."/>
    <s v="."/>
    <m/>
    <s v="TB"/>
    <m/>
    <s v="."/>
    <m/>
    <d v="2015-11-30T00:00:00"/>
    <x v="1"/>
    <s v="."/>
    <s v="."/>
    <s v="."/>
    <s v="."/>
    <s v="."/>
    <s v="."/>
    <s v="."/>
    <s v="."/>
    <x v="0"/>
    <x v="0"/>
    <x v="0"/>
  </r>
  <r>
    <s v="6352/2015-1"/>
    <x v="208"/>
    <x v="0"/>
    <d v="2015-11-25T00:00:00"/>
    <d v="1900-01-07T00:00:00"/>
    <n v="6"/>
    <d v="2015-12-03T00:00:00"/>
    <x v="74"/>
    <s v="."/>
    <n v="1651"/>
    <n v="1900"/>
    <n v="104"/>
    <s v="."/>
    <s v="ok"/>
    <s v="do wywołania"/>
    <s v="Raflatac PE Gloss white TC85 RP37 220mm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62/2015-1"/>
    <x v="209"/>
    <x v="0"/>
    <d v="2015-11-25T00:00:00"/>
    <d v="1900-01-07T00:00:00"/>
    <n v="7"/>
    <d v="2015-12-03T00:00:00"/>
    <x v="12"/>
    <s v="."/>
    <n v="1524"/>
    <n v="1700"/>
    <n v="60"/>
    <s v="."/>
    <s v="ok"/>
    <s v="do wywołania"/>
    <s v="Raflatac PET matt silv 50 RP37 200mm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67/2015-1"/>
    <x v="232"/>
    <x v="0"/>
    <d v="2015-11-26T00:00:00"/>
    <d v="1900-01-03T00:00:00"/>
    <n v="8"/>
    <d v="2015-11-30T00:00:00"/>
    <x v="35"/>
    <s v="."/>
    <n v="2444"/>
    <n v="2700"/>
    <n v="66"/>
    <s v="."/>
    <s v="ok"/>
    <s v="do wywołania"/>
    <s v="Ritrama RI 757/60 PP WH TC AP901 196mm"/>
    <s v="25.11"/>
    <m/>
    <s v="MŁ"/>
    <m/>
    <s v="."/>
    <m/>
    <d v="2015-12-01T00:00:00"/>
    <x v="1"/>
    <s v="."/>
    <s v="."/>
    <s v="."/>
    <s v="."/>
    <s v="."/>
    <s v="."/>
    <s v="."/>
    <s v="."/>
    <x v="0"/>
    <x v="0"/>
    <x v="0"/>
  </r>
  <r>
    <s v="6291/2015-1"/>
    <x v="26"/>
    <x v="2"/>
    <m/>
    <d v="2015-12-09T00:00:00"/>
    <n v="100"/>
    <d v="2015-12-09T00:00:00"/>
    <x v="1"/>
    <s v="."/>
    <n v="275"/>
    <n v="600"/>
    <n v="104"/>
    <s v="ok"/>
    <s v="ok"/>
    <s v="."/>
    <s v="Raflatac Transfer board 170 RP51 218mm"/>
    <s v="07.12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64/2015-1"/>
    <x v="233"/>
    <x v="0"/>
    <d v="2015-11-26T00:00:00"/>
    <d v="1900-01-04T00:00:00"/>
    <n v="9"/>
    <d v="2015-12-01T00:00:00"/>
    <x v="79"/>
    <s v="."/>
    <n v="130"/>
    <n v="400"/>
    <n v="80"/>
    <s v="."/>
    <s v="ok"/>
    <s v="do wywołania"/>
    <s v="Ritrama RI 837/85 PE WH GL TC AP901 213mm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A737/2015-1"/>
    <x v="228"/>
    <x v="17"/>
    <m/>
    <d v="2015-12-03T00:00:00"/>
    <n v="5"/>
    <d v="2015-12-03T00:00:00"/>
    <x v="12"/>
    <s v="8x110 4 kursy"/>
    <n v="1800"/>
    <s v="."/>
    <s v="."/>
    <s v="."/>
    <s v="."/>
    <s v="TTR302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A738/2015-2"/>
    <x v="226"/>
    <x v="13"/>
    <m/>
    <d v="2015-12-03T00:00:00"/>
    <n v="13"/>
    <d v="2015-12-03T00:00:00"/>
    <x v="12"/>
    <s v="18x50 1 kurs"/>
    <n v="450"/>
    <s v="."/>
    <s v="."/>
    <s v="."/>
    <s v="."/>
    <s v="TTR131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03/2015-3"/>
    <x v="178"/>
    <x v="9"/>
    <m/>
    <d v="2015-12-03T00:00:00"/>
    <n v="100"/>
    <d v="2015-12-03T00:00:00"/>
    <x v="66"/>
    <s v="."/>
    <n v="314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244/2015-2"/>
    <x v="106"/>
    <x v="8"/>
    <m/>
    <d v="2015-12-02T00:00:00"/>
    <n v="100"/>
    <d v="2015-12-02T00:00:00"/>
    <x v="45"/>
    <s v="."/>
    <n v="46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21/2015-1"/>
    <x v="0"/>
    <x v="0"/>
    <m/>
    <d v="2015-12-17T00:00:00"/>
    <n v="100"/>
    <d v="2015-12-17T00:00:00"/>
    <x v="0"/>
    <s v="."/>
    <n v="190"/>
    <n v="300"/>
    <n v="60"/>
    <s v="."/>
    <s v="ok"/>
    <s v="."/>
    <s v="Avery PP TOP NG WH TS8000DEC 125mm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320/2015-1"/>
    <x v="0"/>
    <x v="0"/>
    <m/>
    <d v="2015-12-17T00:00:00"/>
    <n v="100"/>
    <d v="2015-12-17T00:00:00"/>
    <x v="0"/>
    <s v="."/>
    <n v="317"/>
    <n v="500"/>
    <n v="60"/>
    <s v="."/>
    <s v="ok"/>
    <s v="."/>
    <s v="Avery PP TOP NG WH TS8000DEC 125mm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302/2015-3"/>
    <x v="179"/>
    <x v="9"/>
    <m/>
    <d v="2015-12-03T00:00:00"/>
    <n v="100"/>
    <d v="2015-12-03T00:00:00"/>
    <x v="66"/>
    <s v="."/>
    <n v="314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1/2015-3"/>
    <x v="180"/>
    <x v="9"/>
    <m/>
    <d v="2015-12-03T00:00:00"/>
    <n v="100"/>
    <d v="2015-12-03T00:00:00"/>
    <x v="66"/>
    <s v="."/>
    <n v="314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00/2015-3"/>
    <x v="181"/>
    <x v="9"/>
    <m/>
    <d v="2015-12-03T00:00:00"/>
    <n v="100"/>
    <d v="2015-12-03T00:00:00"/>
    <x v="66"/>
    <s v="."/>
    <n v="314"/>
    <s v="."/>
    <s v="."/>
    <s v="."/>
    <s v="."/>
    <s v="."/>
    <s v="."/>
    <s v="."/>
    <m/>
    <s v="TB"/>
    <m/>
    <s v="."/>
    <m/>
    <d v="2015-12-01T00:00:00"/>
    <x v="1"/>
    <s v="."/>
    <s v="."/>
    <s v="."/>
    <s v="."/>
    <s v="."/>
    <s v="."/>
    <s v="."/>
    <s v="."/>
    <x v="1"/>
    <x v="0"/>
    <x v="0"/>
  </r>
  <r>
    <s v="6345/2015-4"/>
    <x v="195"/>
    <x v="7"/>
    <m/>
    <d v="2015-12-04T00:00:00"/>
    <n v="100"/>
    <d v="2015-12-04T00:00:00"/>
    <x v="14"/>
    <s v="."/>
    <n v="13373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A657/2015-1"/>
    <x v="6"/>
    <x v="17"/>
    <m/>
    <d v="2016-01-08T00:00:00"/>
    <n v="6"/>
    <d v="2016-01-08T00:00:00"/>
    <x v="19"/>
    <s v="10x83 27 kursów"/>
    <n v="12150"/>
    <s v="."/>
    <s v="."/>
    <s v="."/>
    <s v="."/>
    <s v="TTR111"/>
    <s v="."/>
    <s v="."/>
    <m/>
    <s v="MŁ"/>
    <m/>
    <s v="."/>
    <s v="."/>
    <m/>
    <x v="1"/>
    <s v="."/>
    <s v="."/>
    <s v="."/>
    <s v="."/>
    <s v="."/>
    <s v="."/>
    <s v="."/>
    <s v="."/>
    <x v="2"/>
    <x v="0"/>
    <x v="0"/>
  </r>
  <r>
    <s v="A657/2015-2"/>
    <x v="6"/>
    <x v="13"/>
    <m/>
    <d v="2016-01-08T00:00:00"/>
    <n v="14"/>
    <d v="2016-01-08T00:00:00"/>
    <x v="19"/>
    <s v="10x83 27 kursów"/>
    <n v="12150"/>
    <s v="."/>
    <s v="."/>
    <s v="."/>
    <s v="."/>
    <s v="TTR111"/>
    <s v="."/>
    <s v="."/>
    <m/>
    <s v="MŁ"/>
    <m/>
    <s v="."/>
    <s v="."/>
    <m/>
    <x v="1"/>
    <s v="."/>
    <s v="."/>
    <s v="."/>
    <s v="."/>
    <s v="."/>
    <s v="."/>
    <s v="."/>
    <s v="."/>
    <x v="2"/>
    <x v="0"/>
    <x v="0"/>
  </r>
  <r>
    <s v="6270/2015-2"/>
    <x v="121"/>
    <x v="8"/>
    <m/>
    <d v="2015-12-02T00:00:00"/>
    <n v="100"/>
    <d v="2015-12-02T00:00:00"/>
    <x v="50"/>
    <s v="."/>
    <n v="12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46/2015-2"/>
    <x v="190"/>
    <x v="8"/>
    <m/>
    <d v="2015-12-04T00:00:00"/>
    <n v="100"/>
    <d v="2015-12-04T00:00:00"/>
    <x v="8"/>
    <s v="."/>
    <n v="108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40/2015-1"/>
    <x v="200"/>
    <x v="8"/>
    <m/>
    <d v="2015-12-07T00:00:00"/>
    <n v="100"/>
    <d v="2015-12-07T00:00:00"/>
    <x v="73"/>
    <s v="."/>
    <n v="1190"/>
    <n v="1400"/>
    <n v="120"/>
    <s v="."/>
    <s v="ok"/>
    <s v="."/>
    <s v="Raflatac Thermal Eco 300 RH9X 322mm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184/2015-1"/>
    <x v="70"/>
    <x v="12"/>
    <m/>
    <d v="2015-12-01T00:00:00"/>
    <n v="100"/>
    <d v="2015-12-01T00:00:00"/>
    <x v="34"/>
    <s v="."/>
    <n v="7620"/>
    <n v="8000"/>
    <n v="80"/>
    <s v="."/>
    <s v="ok"/>
    <s v="."/>
    <s v="Avery PE data80 MAT WH F1 196mm"/>
    <s v="27.11, pilne po dostawie"/>
    <m/>
    <s v="IP"/>
    <m/>
    <s v="."/>
    <m/>
    <d v="2015-11-23T00:00:00"/>
    <x v="1"/>
    <s v="."/>
    <s v="."/>
    <s v="."/>
    <s v="."/>
    <s v="."/>
    <s v="."/>
    <s v="."/>
    <s v="."/>
    <x v="1"/>
    <x v="0"/>
    <x v="0"/>
  </r>
  <r>
    <s v="6349/2015-3"/>
    <x v="189"/>
    <x v="9"/>
    <m/>
    <d v="2015-12-03T00:00:00"/>
    <n v="100"/>
    <d v="2015-12-03T00:00:00"/>
    <x v="70"/>
    <s v="."/>
    <n v="38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6350/2015-2"/>
    <x v="194"/>
    <x v="9"/>
    <m/>
    <d v="2015-12-03T00:00:00"/>
    <n v="100"/>
    <d v="2015-12-03T00:00:00"/>
    <x v="72"/>
    <s v="."/>
    <n v="405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345/2015-2"/>
    <x v="195"/>
    <x v="9"/>
    <m/>
    <d v="2015-12-04T00:00:00"/>
    <n v="100"/>
    <d v="2015-12-04T00:00:00"/>
    <x v="14"/>
    <s v="."/>
    <n v="13373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354/2015-1"/>
    <x v="203"/>
    <x v="9"/>
    <m/>
    <d v="2015-12-03T00:00:00"/>
    <n v="100"/>
    <d v="2015-12-03T00:00:00"/>
    <x v="12"/>
    <s v="."/>
    <n v="38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50/2015-1"/>
    <x v="194"/>
    <x v="6"/>
    <m/>
    <d v="2015-12-03T00:00:00"/>
    <n v="17"/>
    <d v="2015-12-03T00:00:00"/>
    <x v="72"/>
    <s v="."/>
    <n v="405"/>
    <n v="700"/>
    <n v="78"/>
    <s v="ok"/>
    <s v="ok"/>
    <s v="."/>
    <s v="Avery PVC Clear Al170 213mm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369/2015-1"/>
    <x v="234"/>
    <x v="6"/>
    <m/>
    <d v="2015-12-03T00:00:00"/>
    <n v="18"/>
    <d v="2015-12-03T00:00:00"/>
    <x v="35"/>
    <s v="."/>
    <n v="744"/>
    <n v="1000"/>
    <n v="134"/>
    <s v="ok"/>
    <s v="ok"/>
    <s v="."/>
    <s v="Raflatac PP white TC60 RP37 220mm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359/2015-2"/>
    <x v="204"/>
    <x v="9"/>
    <m/>
    <d v="2015-12-03T00:00:00"/>
    <n v="100"/>
    <d v="2015-12-03T00:00:00"/>
    <x v="12"/>
    <s v="."/>
    <n v="476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5894/2015-1"/>
    <x v="206"/>
    <x v="6"/>
    <m/>
    <d v="2015-12-14T00:00:00"/>
    <n v="100"/>
    <d v="2015-12-14T00:00:00"/>
    <x v="38"/>
    <s v="."/>
    <n v="340"/>
    <n v="400"/>
    <n v="134"/>
    <s v="ok"/>
    <s v="ok"/>
    <s v="."/>
    <s v="Ritrama 707/60 PP TR TC AP901 150mm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164/2015-2"/>
    <x v="205"/>
    <x v="9"/>
    <m/>
    <d v="2015-12-07T00:00:00"/>
    <n v="100"/>
    <d v="2015-12-07T00:00:00"/>
    <x v="5"/>
    <s v="."/>
    <n v="1218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319/2015-1"/>
    <x v="0"/>
    <x v="0"/>
    <m/>
    <d v="2015-12-17T00:00:00"/>
    <n v="100"/>
    <d v="2015-12-17T00:00:00"/>
    <x v="0"/>
    <s v="."/>
    <n v="1587"/>
    <n v="1800"/>
    <n v="60"/>
    <s v="."/>
    <s v="ok"/>
    <s v="."/>
    <s v="Avery PP TOP NG WH TS8000DEC 125mm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318/2015-1"/>
    <x v="0"/>
    <x v="0"/>
    <m/>
    <d v="2015-12-17T00:00:00"/>
    <n v="100"/>
    <d v="2015-12-17T00:00:00"/>
    <x v="0"/>
    <s v="."/>
    <n v="635"/>
    <n v="800"/>
    <n v="60"/>
    <s v="."/>
    <s v="ok"/>
    <s v="."/>
    <s v="Avery PP TOP NG WH TS8000DEC 125mm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357/2015-2"/>
    <x v="210"/>
    <x v="8"/>
    <m/>
    <d v="2015-12-03T00:00:00"/>
    <n v="100"/>
    <d v="2015-12-03T00:00:00"/>
    <x v="12"/>
    <s v="."/>
    <n v="122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076/2015-3"/>
    <x v="235"/>
    <x v="7"/>
    <m/>
    <d v="1899-12-30T00:00:00"/>
    <s v="."/>
    <m/>
    <x v="80"/>
    <s v="."/>
    <n v="4064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076/2015-4"/>
    <x v="235"/>
    <x v="3"/>
    <m/>
    <d v="1899-12-30T00:00:00"/>
    <s v="."/>
    <m/>
    <x v="80"/>
    <s v="."/>
    <n v="4064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5894/2015-2"/>
    <x v="206"/>
    <x v="9"/>
    <m/>
    <d v="2015-12-14T00:00:00"/>
    <n v="100"/>
    <d v="2015-12-14T00:00:00"/>
    <x v="38"/>
    <s v="."/>
    <n v="340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039/2015-2"/>
    <x v="207"/>
    <x v="9"/>
    <m/>
    <d v="2015-12-14T00:00:00"/>
    <n v="100"/>
    <d v="2015-12-14T00:00:00"/>
    <x v="38"/>
    <s v="."/>
    <n v="250"/>
    <s v="."/>
    <s v="."/>
    <s v="."/>
    <s v="."/>
    <s v="."/>
    <s v=".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S-C7-12/2015"/>
    <x v="6"/>
    <x v="5"/>
    <m/>
    <d v="2015-12-15T00:00:00"/>
    <s v="."/>
    <d v="2015-12-15T00:00:00"/>
    <x v="6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6343/2015-1"/>
    <x v="192"/>
    <x v="0"/>
    <m/>
    <d v="2016-01-08T00:00:00"/>
    <n v="100"/>
    <d v="2016-01-08T00:00:00"/>
    <x v="14"/>
    <s v="."/>
    <n v="571"/>
    <n v="550"/>
    <n v="72"/>
    <s v="."/>
    <s v="ok"/>
    <s v="."/>
    <s v="Avery Primecoat S2000N 150mm"/>
    <s v="."/>
    <m/>
    <s v="IP"/>
    <m/>
    <s v="."/>
    <m/>
    <m/>
    <x v="1"/>
    <s v="."/>
    <s v="."/>
    <s v="."/>
    <s v="."/>
    <s v="."/>
    <s v="."/>
    <s v="."/>
    <s v="."/>
    <x v="2"/>
    <x v="0"/>
    <x v="0"/>
  </r>
  <r>
    <s v="6387/2015-1"/>
    <x v="236"/>
    <x v="12"/>
    <m/>
    <d v="2015-12-01T00:00:00"/>
    <n v="100"/>
    <d v="2015-12-01T00:00:00"/>
    <x v="2"/>
    <s v="."/>
    <n v="2381"/>
    <n v="2600"/>
    <n v="75"/>
    <s v="."/>
    <s v="ok"/>
    <s v="."/>
    <s v="Raflatac Raflacoat RH9X 320mm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164/2015-1"/>
    <x v="205"/>
    <x v="2"/>
    <m/>
    <d v="2015-12-07T00:00:00"/>
    <n v="100"/>
    <d v="2015-12-07T00:00:00"/>
    <x v="5"/>
    <s v="."/>
    <n v="1218"/>
    <n v="1500"/>
    <n v="124"/>
    <s v="ok"/>
    <s v="ok"/>
    <s v="."/>
    <s v="Raflatac Raflacoa tRP51 230mm"/>
    <s v="24.11"/>
    <m/>
    <s v="IP"/>
    <m/>
    <s v="."/>
    <m/>
    <m/>
    <x v="1"/>
    <s v="."/>
    <s v="."/>
    <s v="."/>
    <s v="."/>
    <s v="."/>
    <s v="."/>
    <s v="."/>
    <s v="."/>
    <x v="1"/>
    <x v="0"/>
    <x v="0"/>
  </r>
  <r>
    <s v="6076/2015-1"/>
    <x v="235"/>
    <x v="2"/>
    <m/>
    <d v="1899-12-30T00:00:00"/>
    <s v="."/>
    <m/>
    <x v="80"/>
    <s v="."/>
    <n v="4064"/>
    <n v="3900"/>
    <n v="96"/>
    <s v="ok"/>
    <s v="ok"/>
    <s v="."/>
    <s v="Raflatac Thermal Eco Card 100 333mm"/>
    <s v="17.11"/>
    <m/>
    <s v="IP"/>
    <m/>
    <s v="."/>
    <m/>
    <m/>
    <x v="1"/>
    <s v="."/>
    <s v="."/>
    <s v="."/>
    <s v="."/>
    <s v="."/>
    <s v="."/>
    <s v="."/>
    <s v="."/>
    <x v="1"/>
    <x v="0"/>
    <x v="0"/>
  </r>
  <r>
    <s v="6076/2015-1"/>
    <x v="235"/>
    <x v="2"/>
    <m/>
    <d v="1899-12-30T00:00:00"/>
    <s v="."/>
    <m/>
    <x v="80"/>
    <s v="."/>
    <n v="4064"/>
    <n v="800"/>
    <n v="96"/>
    <s v="ok"/>
    <s v="ok"/>
    <s v="."/>
    <s v="Raflatac Thermal Eco Card 100 333mm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S-K3-12/2015"/>
    <x v="6"/>
    <x v="18"/>
    <m/>
    <d v="2015-12-15T00:00:00"/>
    <s v="."/>
    <d v="2015-12-15T00:00:00"/>
    <x v="6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A736/2015-1"/>
    <x v="237"/>
    <x v="17"/>
    <m/>
    <d v="2016-02-01T00:00:00"/>
    <n v="7"/>
    <d v="2016-02-01T00:00:00"/>
    <x v="27"/>
    <s v="10x65 23 kursy"/>
    <n v="10350"/>
    <s v="."/>
    <s v="."/>
    <s v="."/>
    <s v="."/>
    <s v="TTR211"/>
    <s v="."/>
    <s v="."/>
    <m/>
    <s v="KC"/>
    <m/>
    <s v="."/>
    <m/>
    <m/>
    <x v="1"/>
    <s v="."/>
    <s v="."/>
    <s v="."/>
    <s v="."/>
    <s v="."/>
    <s v="."/>
    <s v="."/>
    <s v="."/>
    <x v="3"/>
    <x v="0"/>
    <x v="0"/>
  </r>
  <r>
    <s v="A736/2015-2"/>
    <x v="237"/>
    <x v="13"/>
    <m/>
    <d v="2016-02-01T00:00:00"/>
    <n v="15"/>
    <d v="2016-02-01T00:00:00"/>
    <x v="27"/>
    <s v="10x65 23 kursy"/>
    <n v="10350"/>
    <s v="."/>
    <s v="."/>
    <s v="."/>
    <s v="."/>
    <s v="TTR211"/>
    <s v="."/>
    <s v="."/>
    <m/>
    <s v="KC"/>
    <m/>
    <s v="."/>
    <m/>
    <m/>
    <x v="1"/>
    <s v="."/>
    <s v="."/>
    <s v="."/>
    <s v="."/>
    <s v="."/>
    <s v="."/>
    <s v="."/>
    <s v="."/>
    <x v="3"/>
    <x v="0"/>
    <x v="0"/>
  </r>
  <r>
    <s v="B34/2015-1"/>
    <x v="154"/>
    <x v="15"/>
    <m/>
    <d v="2015-11-30T00:00:00"/>
    <n v="5"/>
    <d v="2015-11-30T00:00:00"/>
    <x v="59"/>
    <s v="40x30"/>
    <s v="25000szt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0"/>
    <x v="0"/>
    <x v="0"/>
  </r>
  <r>
    <s v="brak"/>
    <x v="215"/>
    <x v="15"/>
    <m/>
    <d v="2015-11-30T00:00:00"/>
    <n v="6"/>
    <d v="2015-11-30T00:00:00"/>
    <x v="1"/>
    <s v="wyjazd na serwis"/>
    <s v=".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0"/>
    <x v="0"/>
    <x v="0"/>
  </r>
  <r>
    <s v="brak"/>
    <x v="6"/>
    <x v="15"/>
    <m/>
    <d v="1899-12-30T00:00:00"/>
    <s v="."/>
    <m/>
    <x v="81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6343/2015-1"/>
    <x v="192"/>
    <x v="0"/>
    <m/>
    <d v="2016-01-08T00:00:00"/>
    <n v="100"/>
    <d v="2016-01-08T00:00:00"/>
    <x v="14"/>
    <s v="."/>
    <n v="571"/>
    <n v="200"/>
    <n v="72"/>
    <s v="."/>
    <s v="ok"/>
    <s v="."/>
    <s v="Avery Primecoat S2000N 192mm"/>
    <s v="."/>
    <m/>
    <s v="IP"/>
    <m/>
    <s v="."/>
    <m/>
    <m/>
    <x v="1"/>
    <s v="."/>
    <s v="."/>
    <s v="."/>
    <s v="."/>
    <s v="."/>
    <s v="."/>
    <s v="."/>
    <s v="."/>
    <x v="2"/>
    <x v="0"/>
    <x v="0"/>
  </r>
  <r>
    <s v="6364/2015-2"/>
    <x v="233"/>
    <x v="3"/>
    <m/>
    <d v="2015-12-01T00:00:00"/>
    <n v="1"/>
    <d v="2015-12-01T00:00:00"/>
    <x v="79"/>
    <s v="."/>
    <n v="130"/>
    <s v="."/>
    <s v="."/>
    <s v="."/>
    <s v="."/>
    <s v="."/>
    <s v="."/>
    <s v="."/>
    <m/>
    <s v="TB"/>
    <m/>
    <s v="."/>
    <m/>
    <m/>
    <x v="1"/>
    <s v="."/>
    <s v="."/>
    <s v="."/>
    <s v="."/>
    <s v="."/>
    <s v="."/>
    <s v="."/>
    <s v="."/>
    <x v="1"/>
    <x v="0"/>
    <x v="0"/>
  </r>
  <r>
    <s v="S-C3-12/2015"/>
    <x v="6"/>
    <x v="0"/>
    <m/>
    <d v="2015-12-15T00:00:00"/>
    <s v="."/>
    <d v="2015-12-15T00:00:00"/>
    <x v="6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6367/2015-2"/>
    <x v="232"/>
    <x v="3"/>
    <m/>
    <d v="2015-11-30T00:00:00"/>
    <n v="1"/>
    <d v="2015-11-30T00:00:00"/>
    <x v="35"/>
    <s v="."/>
    <n v="2444"/>
    <s v="."/>
    <s v="."/>
    <s v="."/>
    <s v="."/>
    <s v="."/>
    <s v="."/>
    <s v="."/>
    <m/>
    <s v="MŁ"/>
    <m/>
    <s v="."/>
    <m/>
    <d v="2015-12-01T00:00:00"/>
    <x v="1"/>
    <s v="."/>
    <s v="."/>
    <s v="."/>
    <s v="."/>
    <s v="."/>
    <s v="."/>
    <s v="."/>
    <s v="."/>
    <x v="0"/>
    <x v="0"/>
    <x v="0"/>
  </r>
  <r>
    <s v="6385/2015-1"/>
    <x v="238"/>
    <x v="4"/>
    <d v="2015-11-25T00:00:00"/>
    <d v="1900-01-08T00:00:00"/>
    <n v="26"/>
    <d v="2015-12-04T00:00:00"/>
    <x v="26"/>
    <s v="."/>
    <n v="33"/>
    <n v="300"/>
    <n v="104"/>
    <s v="ok"/>
    <s v="ok"/>
    <s v="do wywołania"/>
    <s v="Raflatac PE Gloss white TC85 RP37 220mm"/>
    <s v="."/>
    <m/>
    <s v="DG"/>
    <m/>
    <s v="."/>
    <m/>
    <m/>
    <x v="1"/>
    <s v="."/>
    <s v="."/>
    <s v="."/>
    <s v="."/>
    <s v="."/>
    <s v="."/>
    <s v="."/>
    <s v="."/>
    <x v="1"/>
    <x v="0"/>
    <x v="0"/>
  </r>
  <r>
    <s v="6385/2015-2"/>
    <x v="238"/>
    <x v="8"/>
    <m/>
    <d v="2015-12-04T00:00:00"/>
    <n v="100"/>
    <d v="2015-12-04T00:00:00"/>
    <x v="26"/>
    <s v="."/>
    <n v="33"/>
    <s v="."/>
    <s v="."/>
    <s v="."/>
    <s v="."/>
    <s v="."/>
    <s v="."/>
    <s v="."/>
    <m/>
    <s v="DG"/>
    <m/>
    <s v="."/>
    <m/>
    <m/>
    <x v="1"/>
    <s v="."/>
    <s v="."/>
    <s v="."/>
    <s v="."/>
    <s v="."/>
    <s v="."/>
    <s v="."/>
    <s v="."/>
    <x v="1"/>
    <x v="0"/>
    <x v="0"/>
  </r>
  <r>
    <s v="6385/2015-3"/>
    <x v="238"/>
    <x v="3"/>
    <m/>
    <d v="2015-12-04T00:00:00"/>
    <n v="1"/>
    <d v="2015-12-04T00:00:00"/>
    <x v="26"/>
    <s v="."/>
    <n v="33"/>
    <s v="."/>
    <s v="."/>
    <s v="."/>
    <s v="."/>
    <s v="."/>
    <s v="."/>
    <s v="."/>
    <m/>
    <s v="DG"/>
    <m/>
    <s v="."/>
    <m/>
    <m/>
    <x v="1"/>
    <s v="."/>
    <s v="."/>
    <s v="."/>
    <s v="."/>
    <s v="."/>
    <s v="."/>
    <s v="."/>
    <s v="."/>
    <x v="1"/>
    <x v="0"/>
    <x v="0"/>
  </r>
  <r>
    <s v="S-C1-12/2015"/>
    <x v="6"/>
    <x v="12"/>
    <m/>
    <d v="2015-12-15T00:00:00"/>
    <s v="."/>
    <d v="2015-12-15T00:00:00"/>
    <x v="6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6387/2015-2"/>
    <x v="236"/>
    <x v="7"/>
    <m/>
    <d v="2015-12-01T00:00:00"/>
    <n v="1"/>
    <d v="2015-12-01T00:00:00"/>
    <x v="2"/>
    <s v="."/>
    <n v="2381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387/2015-3"/>
    <x v="236"/>
    <x v="3"/>
    <m/>
    <d v="2015-12-01T00:00:00"/>
    <n v="1"/>
    <d v="2015-12-01T00:00:00"/>
    <x v="2"/>
    <s v="."/>
    <n v="2381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5894/2015-1"/>
    <x v="206"/>
    <x v="6"/>
    <m/>
    <d v="2015-12-14T00:00:00"/>
    <n v="100"/>
    <d v="2015-12-14T00:00:00"/>
    <x v="38"/>
    <s v="."/>
    <n v="340"/>
    <n v="250"/>
    <n v="134"/>
    <s v="ok"/>
    <s v="ok"/>
    <s v="."/>
    <s v="Ritrama 707/60 PP TR TC AP901 177mm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69/2015-2"/>
    <x v="234"/>
    <x v="9"/>
    <m/>
    <d v="2015-12-03T00:00:00"/>
    <n v="100"/>
    <d v="2015-12-03T00:00:00"/>
    <x v="35"/>
    <s v="."/>
    <n v="744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369/2015-3"/>
    <x v="234"/>
    <x v="3"/>
    <m/>
    <d v="2015-12-03T00:00:00"/>
    <n v="1"/>
    <d v="2015-12-03T00:00:00"/>
    <x v="35"/>
    <s v="."/>
    <n v="744"/>
    <s v="."/>
    <s v="."/>
    <s v="."/>
    <s v="."/>
    <s v="."/>
    <s v="."/>
    <s v="."/>
    <m/>
    <s v="MŁ"/>
    <m/>
    <s v="."/>
    <m/>
    <m/>
    <x v="1"/>
    <s v="."/>
    <s v="."/>
    <s v="."/>
    <s v="."/>
    <s v="."/>
    <s v="."/>
    <s v="."/>
    <s v="."/>
    <x v="1"/>
    <x v="0"/>
    <x v="0"/>
  </r>
  <r>
    <s v="6039/2015-1"/>
    <x v="207"/>
    <x v="6"/>
    <m/>
    <d v="2015-12-14T00:00:00"/>
    <n v="100"/>
    <d v="2015-12-14T00:00:00"/>
    <x v="38"/>
    <s v="."/>
    <n v="250"/>
    <n v="600"/>
    <n v="90"/>
    <s v="ok"/>
    <s v="ok"/>
    <s v="."/>
    <s v="Ritrama RI 707/60 PP TR TC AP901 210mm"/>
    <s v="."/>
    <m/>
    <s v="KC"/>
    <m/>
    <s v="."/>
    <m/>
    <m/>
    <x v="1"/>
    <s v="."/>
    <s v="."/>
    <s v="."/>
    <s v="."/>
    <s v="."/>
    <s v="."/>
    <s v="."/>
    <s v="."/>
    <x v="1"/>
    <x v="0"/>
    <x v="0"/>
  </r>
  <r>
    <s v="6386/2015-2"/>
    <x v="239"/>
    <x v="9"/>
    <m/>
    <d v="2015-12-11T00:00:00"/>
    <n v="100"/>
    <d v="2015-12-11T00:00:00"/>
    <x v="14"/>
    <s v="."/>
    <n v="19"/>
    <s v="."/>
    <s v="."/>
    <s v="."/>
    <s v="."/>
    <s v="."/>
    <s v="."/>
    <s v="."/>
    <m/>
    <s v="IP"/>
    <m/>
    <s v="."/>
    <m/>
    <d v="2015-12-01T00:00:00"/>
    <x v="1"/>
    <s v="."/>
    <s v="."/>
    <s v="."/>
    <s v="."/>
    <s v="."/>
    <s v="."/>
    <s v="."/>
    <s v="."/>
    <x v="1"/>
    <x v="0"/>
    <x v="0"/>
  </r>
  <r>
    <s v="6368/2015-3"/>
    <x v="230"/>
    <x v="3"/>
    <m/>
    <d v="2015-11-30T00:00:00"/>
    <n v="1"/>
    <d v="2015-11-30T00:00:00"/>
    <x v="35"/>
    <s v="."/>
    <n v="3058"/>
    <s v="."/>
    <s v="."/>
    <s v="."/>
    <s v="."/>
    <s v="."/>
    <s v="."/>
    <s v="."/>
    <m/>
    <s v="MŁ"/>
    <m/>
    <s v="."/>
    <m/>
    <d v="2015-12-01T00:00:00"/>
    <x v="1"/>
    <s v="."/>
    <s v="."/>
    <s v="."/>
    <s v="."/>
    <s v="."/>
    <s v="."/>
    <s v="."/>
    <s v="."/>
    <x v="0"/>
    <x v="0"/>
    <x v="0"/>
  </r>
  <r>
    <s v="6386/2015-1"/>
    <x v="239"/>
    <x v="1"/>
    <m/>
    <d v="2015-12-11T00:00:00"/>
    <n v="100"/>
    <d v="2015-12-11T00:00:00"/>
    <x v="14"/>
    <s v="."/>
    <n v="19"/>
    <n v="200"/>
    <n v="96"/>
    <s v="."/>
    <s v="ok"/>
    <s v="."/>
    <s v="Avery Primecoat S2000N 250mm"/>
    <s v="."/>
    <m/>
    <s v="IP"/>
    <m/>
    <s v="."/>
    <m/>
    <d v="2015-12-01T00:00:00"/>
    <x v="1"/>
    <s v="."/>
    <s v="."/>
    <s v="."/>
    <s v="."/>
    <s v="."/>
    <s v="."/>
    <s v="."/>
    <s v="."/>
    <x v="1"/>
    <x v="0"/>
    <x v="0"/>
  </r>
  <r>
    <s v="6388/2015-2"/>
    <x v="240"/>
    <x v="9"/>
    <m/>
    <d v="2015-12-11T00:00:00"/>
    <n v="100"/>
    <d v="2015-12-11T00:00:00"/>
    <x v="2"/>
    <s v="."/>
    <n v="123"/>
    <s v="."/>
    <s v="."/>
    <s v="."/>
    <s v="."/>
    <s v="."/>
    <s v="."/>
    <s v="."/>
    <m/>
    <s v="IP"/>
    <m/>
    <s v="."/>
    <m/>
    <d v="2015-12-09T00:00:00"/>
    <x v="1"/>
    <s v="."/>
    <s v="."/>
    <s v="."/>
    <s v="."/>
    <s v="."/>
    <s v="."/>
    <s v="."/>
    <s v="."/>
    <x v="1"/>
    <x v="0"/>
    <x v="0"/>
  </r>
  <r>
    <s v="6386/2015-3"/>
    <x v="239"/>
    <x v="7"/>
    <m/>
    <d v="2015-12-11T00:00:00"/>
    <n v="1"/>
    <d v="2015-12-11T00:00:00"/>
    <x v="14"/>
    <s v="."/>
    <n v="19"/>
    <s v="."/>
    <s v="."/>
    <s v="."/>
    <s v="."/>
    <s v="."/>
    <s v="."/>
    <s v="."/>
    <m/>
    <s v="IP"/>
    <m/>
    <s v="."/>
    <m/>
    <d v="2015-12-01T00:00:00"/>
    <x v="1"/>
    <s v="."/>
    <s v="."/>
    <s v="."/>
    <s v="."/>
    <s v="."/>
    <s v="."/>
    <s v="."/>
    <s v="."/>
    <x v="1"/>
    <x v="0"/>
    <x v="0"/>
  </r>
  <r>
    <s v="6386/2015-4"/>
    <x v="239"/>
    <x v="3"/>
    <m/>
    <d v="2015-12-11T00:00:00"/>
    <n v="1"/>
    <d v="2015-12-11T00:00:00"/>
    <x v="14"/>
    <s v="."/>
    <n v="19"/>
    <s v="."/>
    <s v="."/>
    <s v="."/>
    <s v="."/>
    <s v="."/>
    <s v="."/>
    <s v="."/>
    <m/>
    <s v="IP"/>
    <m/>
    <s v="."/>
    <m/>
    <d v="2015-12-01T00:00:00"/>
    <x v="1"/>
    <s v="."/>
    <s v="."/>
    <s v="."/>
    <s v="."/>
    <s v="."/>
    <s v="."/>
    <s v="."/>
    <s v="."/>
    <x v="1"/>
    <x v="0"/>
    <x v="0"/>
  </r>
  <r>
    <s v="6388/2015-1"/>
    <x v="240"/>
    <x v="1"/>
    <m/>
    <d v="2015-12-11T00:00:00"/>
    <n v="100"/>
    <d v="2015-12-11T00:00:00"/>
    <x v="2"/>
    <s v="."/>
    <n v="123"/>
    <n v="300"/>
    <n v="124"/>
    <s v="."/>
    <s v="ok"/>
    <s v="."/>
    <s v="Avery PET Transfer WH TOP S8001 185mm"/>
    <s v="."/>
    <m/>
    <s v="IP"/>
    <m/>
    <s v="."/>
    <m/>
    <d v="2015-12-09T00:00:00"/>
    <x v="1"/>
    <s v="."/>
    <s v="."/>
    <s v="."/>
    <s v="."/>
    <s v="."/>
    <s v="."/>
    <s v="."/>
    <s v="."/>
    <x v="1"/>
    <x v="0"/>
    <x v="0"/>
  </r>
  <r>
    <s v="S-K1-11/2015"/>
    <x v="6"/>
    <x v="9"/>
    <m/>
    <d v="2015-11-26T00:00:00"/>
    <s v="."/>
    <d v="2015-11-26T00:00:00"/>
    <x v="6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0"/>
    <x v="0"/>
    <x v="0"/>
  </r>
  <r>
    <s v="6388/2015-3"/>
    <x v="240"/>
    <x v="7"/>
    <m/>
    <d v="2015-12-11T00:00:00"/>
    <n v="1"/>
    <d v="2015-12-11T00:00:00"/>
    <x v="2"/>
    <s v="."/>
    <n v="123"/>
    <s v="."/>
    <s v="."/>
    <s v="."/>
    <s v="."/>
    <s v="."/>
    <s v="."/>
    <s v="."/>
    <m/>
    <s v="IP"/>
    <m/>
    <s v="."/>
    <m/>
    <d v="2015-12-09T00:00:00"/>
    <x v="1"/>
    <s v="."/>
    <s v="."/>
    <s v="."/>
    <s v="."/>
    <s v="."/>
    <s v="."/>
    <s v="."/>
    <s v="."/>
    <x v="1"/>
    <x v="0"/>
    <x v="0"/>
  </r>
  <r>
    <s v="6388/2015-4"/>
    <x v="240"/>
    <x v="3"/>
    <m/>
    <d v="2015-12-11T00:00:00"/>
    <n v="1"/>
    <d v="2015-12-11T00:00:00"/>
    <x v="2"/>
    <s v="."/>
    <n v="123"/>
    <s v="."/>
    <s v="."/>
    <s v="."/>
    <s v="."/>
    <s v="."/>
    <s v="."/>
    <s v="."/>
    <m/>
    <s v="IP"/>
    <m/>
    <s v="."/>
    <m/>
    <d v="2015-12-09T00:00:00"/>
    <x v="1"/>
    <s v="."/>
    <s v="."/>
    <s v="."/>
    <s v="."/>
    <s v="."/>
    <s v="."/>
    <s v="."/>
    <s v="."/>
    <x v="1"/>
    <x v="0"/>
    <x v="0"/>
  </r>
  <r>
    <s v="S-D2-12/2015"/>
    <x v="6"/>
    <x v="2"/>
    <m/>
    <d v="2015-12-15T00:00:00"/>
    <s v="."/>
    <d v="2015-12-15T00:00:00"/>
    <x v="6"/>
    <s v="."/>
    <s v="."/>
    <s v="."/>
    <s v="."/>
    <s v="."/>
    <s v="."/>
    <s v="."/>
    <s v="."/>
    <s v="."/>
    <m/>
    <s v="."/>
    <m/>
    <s v="."/>
    <m/>
    <m/>
    <x v="1"/>
    <s v="."/>
    <s v="."/>
    <n v="600"/>
    <s v="."/>
    <s v="."/>
    <s v="."/>
    <s v="."/>
    <s v="."/>
    <x v="1"/>
    <x v="0"/>
    <x v="0"/>
  </r>
  <r>
    <s v="6076/2015-2"/>
    <x v="235"/>
    <x v="9"/>
    <m/>
    <d v="1899-12-30T00:00:00"/>
    <s v="."/>
    <m/>
    <x v="80"/>
    <s v="."/>
    <n v="4064"/>
    <s v="."/>
    <s v="."/>
    <s v="."/>
    <s v="."/>
    <s v="."/>
    <s v="."/>
    <s v="."/>
    <m/>
    <s v="IP"/>
    <m/>
    <s v="."/>
    <m/>
    <m/>
    <x v="1"/>
    <s v="."/>
    <s v="."/>
    <s v="."/>
    <s v="."/>
    <s v="."/>
    <s v="."/>
    <s v="."/>
    <s v="."/>
    <x v="1"/>
    <x v="0"/>
    <x v="0"/>
  </r>
  <r>
    <s v="6353/2015-3"/>
    <x v="19"/>
    <x v="10"/>
    <m/>
    <d v="2015-11-30T00:00:00"/>
    <n v="1"/>
    <d v="2015-11-30T00:00:00"/>
    <x v="15"/>
    <s v="."/>
    <n v="15240"/>
    <s v="."/>
    <s v="."/>
    <s v="."/>
    <s v="."/>
    <s v="."/>
    <s v="."/>
    <s v="."/>
    <m/>
    <s v="IP"/>
    <m/>
    <s v="."/>
    <m/>
    <d v="2015-12-03T00:00:00"/>
    <x v="1"/>
    <s v="."/>
    <s v="."/>
    <s v="."/>
    <s v="."/>
    <s v="."/>
    <s v="."/>
    <s v="."/>
    <s v="."/>
    <x v="0"/>
    <x v="0"/>
    <x v="0"/>
  </r>
  <r>
    <s v="6353/2015-4"/>
    <x v="19"/>
    <x v="3"/>
    <m/>
    <d v="2015-11-30T00:00:00"/>
    <n v="1"/>
    <d v="2015-11-30T00:00:00"/>
    <x v="15"/>
    <s v="."/>
    <n v="15240"/>
    <s v="."/>
    <s v="."/>
    <s v="."/>
    <s v="."/>
    <s v="."/>
    <s v="."/>
    <s v="."/>
    <m/>
    <s v="IP"/>
    <m/>
    <s v="."/>
    <m/>
    <d v="2015-12-03T00:00:00"/>
    <x v="1"/>
    <s v="."/>
    <s v="."/>
    <s v="."/>
    <s v="."/>
    <s v="."/>
    <s v="."/>
    <s v="."/>
    <s v="."/>
    <x v="0"/>
    <x v="0"/>
    <x v="0"/>
  </r>
  <r>
    <s v="."/>
    <x v="6"/>
    <x v="19"/>
    <m/>
    <d v="1899-12-30T00:00:00"/>
    <s v="."/>
    <m/>
    <x v="81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."/>
    <x v="6"/>
    <x v="19"/>
    <m/>
    <d v="1899-12-30T00:00:00"/>
    <s v="."/>
    <m/>
    <x v="81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."/>
    <x v="6"/>
    <x v="19"/>
    <m/>
    <d v="1899-12-30T00:00:00"/>
    <s v="."/>
    <m/>
    <x v="81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."/>
    <x v="6"/>
    <x v="19"/>
    <m/>
    <d v="1899-12-30T00:00:00"/>
    <s v="."/>
    <m/>
    <x v="81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."/>
    <x v="6"/>
    <x v="19"/>
    <m/>
    <d v="1899-12-30T00:00:00"/>
    <s v="."/>
    <m/>
    <x v="81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."/>
    <x v="6"/>
    <x v="19"/>
    <m/>
    <d v="1899-12-30T00:00:00"/>
    <s v="."/>
    <m/>
    <x v="81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."/>
    <x v="6"/>
    <x v="19"/>
    <m/>
    <d v="1899-12-30T00:00:00"/>
    <s v="."/>
    <m/>
    <x v="81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."/>
    <x v="6"/>
    <x v="19"/>
    <m/>
    <d v="1899-12-30T00:00:00"/>
    <s v="."/>
    <m/>
    <x v="81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."/>
    <x v="6"/>
    <x v="19"/>
    <m/>
    <d v="1899-12-30T00:00:00"/>
    <s v="."/>
    <m/>
    <x v="81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."/>
    <x v="6"/>
    <x v="19"/>
    <m/>
    <d v="1899-12-30T00:00:00"/>
    <s v="."/>
    <m/>
    <x v="81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."/>
    <x v="6"/>
    <x v="19"/>
    <m/>
    <d v="1899-12-30T00:00:00"/>
    <s v="."/>
    <m/>
    <x v="81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."/>
    <x v="6"/>
    <x v="19"/>
    <m/>
    <d v="1899-12-30T00:00:00"/>
    <s v="."/>
    <m/>
    <x v="81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."/>
    <x v="6"/>
    <x v="19"/>
    <m/>
    <d v="1899-12-30T00:00:00"/>
    <s v="."/>
    <m/>
    <x v="81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."/>
    <x v="6"/>
    <x v="19"/>
    <m/>
    <d v="1899-12-30T00:00:00"/>
    <s v="."/>
    <m/>
    <x v="81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."/>
    <x v="6"/>
    <x v="19"/>
    <m/>
    <d v="1899-12-30T00:00:00"/>
    <s v="."/>
    <m/>
    <x v="81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."/>
    <x v="6"/>
    <x v="19"/>
    <m/>
    <d v="1899-12-30T00:00:00"/>
    <s v="."/>
    <m/>
    <x v="81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."/>
    <x v="6"/>
    <x v="19"/>
    <m/>
    <d v="1899-12-30T00:00:00"/>
    <s v="."/>
    <m/>
    <x v="81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."/>
    <x v="6"/>
    <x v="19"/>
    <m/>
    <d v="1899-12-30T00:00:00"/>
    <s v="."/>
    <m/>
    <x v="81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  <r>
    <s v="."/>
    <x v="6"/>
    <x v="19"/>
    <m/>
    <d v="1899-12-30T00:00:00"/>
    <s v="."/>
    <m/>
    <x v="81"/>
    <s v="."/>
    <s v="."/>
    <s v="."/>
    <s v="."/>
    <s v="."/>
    <s v="."/>
    <s v="."/>
    <s v="."/>
    <s v="."/>
    <m/>
    <s v="."/>
    <m/>
    <s v="."/>
    <m/>
    <m/>
    <x v="1"/>
    <s v="."/>
    <s v="."/>
    <s v="."/>
    <s v="."/>
    <s v="."/>
    <s v="."/>
    <s v="."/>
    <s v=".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przestawna1" cacheId="0" applyNumberFormats="0" applyBorderFormats="0" applyFontFormats="0" applyPatternFormats="0" applyAlignmentFormats="0" applyWidthHeightFormats="1" dataCaption="Wartości" updatedVersion="4" minRefreshableVersion="3" useAutoFormatting="1" itemPrintTitles="1" createdVersion="4" indent="0" outline="1" outlineData="1" multipleFieldFilters="0">
  <location ref="A4:D24" firstHeaderRow="0" firstDataRow="1" firstDataCol="1" rowPageCount="2" colPageCount="1"/>
  <pivotFields count="35">
    <pivotField dataField="1" showAll="0"/>
    <pivotField showAll="0"/>
    <pivotField axis="axisRow" showAll="0">
      <items count="21">
        <item x="12"/>
        <item x="8"/>
        <item x="0"/>
        <item x="1"/>
        <item x="16"/>
        <item x="5"/>
        <item x="6"/>
        <item x="2"/>
        <item x="4"/>
        <item x="7"/>
        <item x="13"/>
        <item x="15"/>
        <item x="3"/>
        <item x="9"/>
        <item x="14"/>
        <item x="18"/>
        <item x="11"/>
        <item x="10"/>
        <item x="17"/>
        <item x="19"/>
        <item t="default"/>
      </items>
    </pivotField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 defaultSubtotal="0">
      <items count="4">
        <item x="2"/>
        <item x="0"/>
        <item x="1"/>
        <item x="3"/>
      </items>
    </pivotField>
    <pivotField showAll="0" defaultSubtotal="0"/>
    <pivotField showAll="0" defaultSubtotal="0"/>
  </pivotFields>
  <rowFields count="1">
    <field x="2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23" item="1" hier="-1"/>
    <pageField fld="32" item="1" hier="-1"/>
  </pageFields>
  <dataFields count="3">
    <dataField name="Liczba zleceń" fld="0" subtotal="count" baseField="2" baseItem="0"/>
    <dataField name="Suma z Czas rzeczywisty" fld="19" baseField="2" baseItem="0"/>
    <dataField name="Suma z Czas zaplanowany" fld="17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przestawna1" cacheId="0" applyNumberFormats="0" applyBorderFormats="0" applyFontFormats="0" applyPatternFormats="0" applyAlignmentFormats="0" applyWidthHeightFormats="1" dataCaption="Wartości" updatedVersion="4" minRefreshableVersion="3" useAutoFormatting="1" colGrandTotals="0" itemPrintTitles="1" createdVersion="4" indent="0" outline="1" outlineData="1" multipleFieldFilters="0" colHeaderCaption="NR KI">
  <location ref="A4:F10" firstHeaderRow="1" firstDataRow="3" firstDataCol="1" rowPageCount="2" colPageCount="1"/>
  <pivotFields count="35">
    <pivotField showAll="0"/>
    <pivotField axis="axisCol" compact="0" subtotalTop="0" showAll="0" defaultSubtotal="0">
      <items count="241">
        <item x="119"/>
        <item x="110"/>
        <item x="81"/>
        <item x="154"/>
        <item x="148"/>
        <item x="165"/>
        <item x="69"/>
        <item x="0"/>
        <item x="71"/>
        <item x="47"/>
        <item x="162"/>
        <item x="75"/>
        <item x="159"/>
        <item x="8"/>
        <item x="42"/>
        <item x="70"/>
        <item x="16"/>
        <item x="67"/>
        <item x="136"/>
        <item x="72"/>
        <item x="34"/>
        <item x="68"/>
        <item x="149"/>
        <item x="25"/>
        <item x="3"/>
        <item x="125"/>
        <item x="150"/>
        <item x="129"/>
        <item x="77"/>
        <item x="100"/>
        <item x="144"/>
        <item x="52"/>
        <item x="130"/>
        <item x="147"/>
        <item x="163"/>
        <item x="126"/>
        <item x="2"/>
        <item x="43"/>
        <item x="15"/>
        <item x="41"/>
        <item x="19"/>
        <item x="46"/>
        <item x="64"/>
        <item x="65"/>
        <item x="171"/>
        <item x="158"/>
        <item x="40"/>
        <item x="27"/>
        <item x="39"/>
        <item x="137"/>
        <item x="51"/>
        <item x="164"/>
        <item x="53"/>
        <item x="156"/>
        <item x="140"/>
        <item x="30"/>
        <item x="120"/>
        <item x="93"/>
        <item x="57"/>
        <item x="143"/>
        <item x="86"/>
        <item x="55"/>
        <item x="101"/>
        <item x="28"/>
        <item x="73"/>
        <item x="24"/>
        <item x="10"/>
        <item x="155"/>
        <item x="54"/>
        <item x="18"/>
        <item x="127"/>
        <item x="109"/>
        <item x="115"/>
        <item x="168"/>
        <item x="59"/>
        <item x="37"/>
        <item x="63"/>
        <item x="62"/>
        <item x="111"/>
        <item x="76"/>
        <item x="98"/>
        <item x="1"/>
        <item x="7"/>
        <item x="157"/>
        <item x="80"/>
        <item x="161"/>
        <item x="26"/>
        <item x="141"/>
        <item x="9"/>
        <item x="66"/>
        <item x="167"/>
        <item x="132"/>
        <item x="74"/>
        <item x="11"/>
        <item x="22"/>
        <item x="114"/>
        <item x="78"/>
        <item x="35"/>
        <item x="21"/>
        <item x="99"/>
        <item x="135"/>
        <item x="134"/>
        <item x="60"/>
        <item x="14"/>
        <item x="160"/>
        <item x="79"/>
        <item x="49"/>
        <item x="105"/>
        <item x="48"/>
        <item x="88"/>
        <item x="152"/>
        <item x="32"/>
        <item x="33"/>
        <item x="235"/>
        <item x="121"/>
        <item x="138"/>
        <item x="123"/>
        <item x="122"/>
        <item x="128"/>
        <item x="36"/>
        <item x="133"/>
        <item x="107"/>
        <item x="58"/>
        <item x="17"/>
        <item x="139"/>
        <item x="97"/>
        <item x="151"/>
        <item x="56"/>
        <item x="104"/>
        <item x="5"/>
        <item x="102"/>
        <item x="94"/>
        <item x="106"/>
        <item x="170"/>
        <item x="95"/>
        <item x="50"/>
        <item x="229"/>
        <item x="20"/>
        <item x="38"/>
        <item x="61"/>
        <item x="181"/>
        <item x="180"/>
        <item x="179"/>
        <item x="178"/>
        <item x="177"/>
        <item x="176"/>
        <item x="175"/>
        <item x="174"/>
        <item x="173"/>
        <item x="172"/>
        <item x="91"/>
        <item x="90"/>
        <item x="4"/>
        <item x="23"/>
        <item x="89"/>
        <item x="87"/>
        <item x="85"/>
        <item x="84"/>
        <item x="82"/>
        <item x="83"/>
        <item x="12"/>
        <item x="13"/>
        <item x="108"/>
        <item x="116"/>
        <item x="169"/>
        <item x="31"/>
        <item x="153"/>
        <item x="142"/>
        <item x="145"/>
        <item x="146"/>
        <item x="221"/>
        <item x="231"/>
        <item x="216"/>
        <item x="6"/>
        <item x="113"/>
        <item x="96"/>
        <item x="213"/>
        <item x="118"/>
        <item x="212"/>
        <item x="217"/>
        <item x="112"/>
        <item x="45"/>
        <item x="44"/>
        <item x="92"/>
        <item x="124"/>
        <item x="131"/>
        <item x="117"/>
        <item x="209"/>
        <item x="206"/>
        <item x="200"/>
        <item x="208"/>
        <item x="184"/>
        <item x="183"/>
        <item x="219"/>
        <item x="236"/>
        <item x="194"/>
        <item x="185"/>
        <item x="186"/>
        <item x="205"/>
        <item x="230"/>
        <item x="191"/>
        <item x="201"/>
        <item x="232"/>
        <item x="207"/>
        <item x="202"/>
        <item x="240"/>
        <item x="29"/>
        <item x="103"/>
        <item x="166"/>
        <item x="182"/>
        <item x="187"/>
        <item x="188"/>
        <item x="189"/>
        <item x="190"/>
        <item x="192"/>
        <item x="193"/>
        <item x="195"/>
        <item x="196"/>
        <item x="197"/>
        <item x="198"/>
        <item x="199"/>
        <item x="203"/>
        <item x="204"/>
        <item x="210"/>
        <item x="211"/>
        <item x="214"/>
        <item x="215"/>
        <item x="218"/>
        <item x="220"/>
        <item x="222"/>
        <item x="223"/>
        <item x="224"/>
        <item x="225"/>
        <item x="226"/>
        <item x="227"/>
        <item x="228"/>
        <item x="233"/>
        <item x="234"/>
        <item x="237"/>
        <item x="238"/>
        <item x="239"/>
      </items>
    </pivotField>
    <pivotField showAll="0"/>
    <pivotField showAll="0"/>
    <pivotField numFmtId="164" showAll="0"/>
    <pivotField showAll="0"/>
    <pivotField showAll="0"/>
    <pivotField axis="axisCol" compact="0" subtotalTop="0" showAll="0">
      <items count="83">
        <item x="81"/>
        <item x="14"/>
        <item x="77"/>
        <item x="8"/>
        <item x="50"/>
        <item x="15"/>
        <item x="66"/>
        <item x="29"/>
        <item x="75"/>
        <item x="62"/>
        <item x="13"/>
        <item x="18"/>
        <item x="31"/>
        <item x="65"/>
        <item x="47"/>
        <item x="2"/>
        <item x="9"/>
        <item x="11"/>
        <item x="64"/>
        <item x="44"/>
        <item x="25"/>
        <item x="16"/>
        <item x="43"/>
        <item x="19"/>
        <item x="53"/>
        <item x="48"/>
        <item x="0"/>
        <item x="35"/>
        <item x="45"/>
        <item x="41"/>
        <item x="34"/>
        <item x="42"/>
        <item x="55"/>
        <item x="4"/>
        <item x="7"/>
        <item x="17"/>
        <item x="67"/>
        <item x="1"/>
        <item x="39"/>
        <item x="36"/>
        <item x="51"/>
        <item x="33"/>
        <item x="63"/>
        <item x="49"/>
        <item x="3"/>
        <item x="60"/>
        <item x="37"/>
        <item x="56"/>
        <item x="72"/>
        <item x="28"/>
        <item x="26"/>
        <item x="30"/>
        <item x="61"/>
        <item x="6"/>
        <item x="32"/>
        <item x="5"/>
        <item x="80"/>
        <item x="23"/>
        <item x="24"/>
        <item x="52"/>
        <item x="59"/>
        <item x="21"/>
        <item x="46"/>
        <item x="22"/>
        <item x="54"/>
        <item x="57"/>
        <item x="38"/>
        <item x="78"/>
        <item x="20"/>
        <item x="12"/>
        <item x="40"/>
        <item x="10"/>
        <item x="58"/>
        <item x="27"/>
        <item x="70"/>
        <item x="76"/>
        <item x="73"/>
        <item x="74"/>
        <item x="68"/>
        <item x="79"/>
        <item x="71"/>
        <item x="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2"/>
        <item x="0"/>
        <item x="1"/>
        <item x="3"/>
        <item t="default"/>
      </items>
    </pivotField>
    <pivotField axis="axisRow" dataField="1" showAll="0" defaultSubtotal="0">
      <items count="4">
        <item h="1" x="0"/>
        <item x="1"/>
        <item x="2"/>
        <item x="3"/>
      </items>
    </pivotField>
    <pivotField showAll="0" defaultSubtotal="0"/>
  </pivotFields>
  <rowFields count="1">
    <field x="33"/>
  </rowFields>
  <rowItems count="4">
    <i>
      <x v="1"/>
    </i>
    <i>
      <x v="2"/>
    </i>
    <i>
      <x v="3"/>
    </i>
    <i t="grand">
      <x/>
    </i>
  </rowItems>
  <colFields count="2">
    <field x="1"/>
    <field x="7"/>
  </colFields>
  <colItems count="5">
    <i>
      <x v="38"/>
      <x v="69"/>
    </i>
    <i>
      <x v="65"/>
      <x v="3"/>
    </i>
    <i>
      <x v="66"/>
      <x v="3"/>
    </i>
    <i>
      <x v="69"/>
      <x v="3"/>
    </i>
    <i>
      <x v="81"/>
      <x v="37"/>
    </i>
  </colItems>
  <pageFields count="2">
    <pageField fld="32" item="1" hier="-1"/>
    <pageField fld="23" item="1" hier="-1"/>
  </pageFields>
  <dataFields count="1">
    <dataField name="Suma z Przyspieszenie" fld="33" baseField="3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przestawna2" cacheId="0" applyNumberFormats="0" applyBorderFormats="0" applyFontFormats="0" applyPatternFormats="0" applyAlignmentFormats="0" applyWidthHeightFormats="1" dataCaption="Wartości" updatedVersion="4" minRefreshableVersion="3" useAutoFormatting="1" colGrandTotals="0" itemPrintTitles="1" createdVersion="4" indent="0" outline="1" outlineData="1" multipleFieldFilters="0">
  <location ref="A4:B8" firstHeaderRow="1" firstDataRow="3" firstDataCol="1" rowPageCount="2" colPageCount="1"/>
  <pivotFields count="35">
    <pivotField showAll="0" defaultSubtotal="0"/>
    <pivotField axis="axisCol" showAll="0" defaultSubtotal="0">
      <items count="241">
        <item x="119"/>
        <item x="110"/>
        <item x="81"/>
        <item x="154"/>
        <item x="208"/>
        <item x="148"/>
        <item x="165"/>
        <item x="207"/>
        <item x="69"/>
        <item x="209"/>
        <item x="0"/>
        <item x="71"/>
        <item x="186"/>
        <item x="47"/>
        <item x="162"/>
        <item x="184"/>
        <item x="185"/>
        <item x="183"/>
        <item x="75"/>
        <item x="159"/>
        <item x="8"/>
        <item x="42"/>
        <item x="70"/>
        <item x="16"/>
        <item x="206"/>
        <item x="67"/>
        <item x="136"/>
        <item x="72"/>
        <item x="191"/>
        <item x="34"/>
        <item x="68"/>
        <item x="149"/>
        <item x="25"/>
        <item x="3"/>
        <item x="125"/>
        <item x="150"/>
        <item x="129"/>
        <item x="77"/>
        <item x="100"/>
        <item x="144"/>
        <item x="236"/>
        <item x="52"/>
        <item x="130"/>
        <item x="147"/>
        <item x="163"/>
        <item x="126"/>
        <item x="2"/>
        <item x="43"/>
        <item x="15"/>
        <item x="41"/>
        <item x="19"/>
        <item x="194"/>
        <item x="46"/>
        <item x="64"/>
        <item x="65"/>
        <item x="171"/>
        <item x="158"/>
        <item x="40"/>
        <item x="27"/>
        <item x="39"/>
        <item x="137"/>
        <item x="51"/>
        <item x="164"/>
        <item x="53"/>
        <item x="156"/>
        <item x="140"/>
        <item x="230"/>
        <item x="205"/>
        <item x="30"/>
        <item x="120"/>
        <item x="93"/>
        <item x="240"/>
        <item x="57"/>
        <item x="143"/>
        <item x="86"/>
        <item x="55"/>
        <item x="101"/>
        <item x="200"/>
        <item x="28"/>
        <item x="219"/>
        <item x="73"/>
        <item x="24"/>
        <item x="10"/>
        <item x="155"/>
        <item x="54"/>
        <item x="18"/>
        <item x="127"/>
        <item x="109"/>
        <item x="115"/>
        <item x="168"/>
        <item x="59"/>
        <item x="37"/>
        <item x="232"/>
        <item x="63"/>
        <item x="62"/>
        <item x="111"/>
        <item x="76"/>
        <item x="98"/>
        <item x="1"/>
        <item x="7"/>
        <item x="157"/>
        <item x="80"/>
        <item x="161"/>
        <item x="26"/>
        <item x="141"/>
        <item x="9"/>
        <item x="66"/>
        <item x="167"/>
        <item x="132"/>
        <item x="74"/>
        <item x="11"/>
        <item x="22"/>
        <item x="114"/>
        <item x="78"/>
        <item x="35"/>
        <item x="21"/>
        <item x="99"/>
        <item x="135"/>
        <item x="134"/>
        <item x="60"/>
        <item x="14"/>
        <item x="160"/>
        <item x="79"/>
        <item x="49"/>
        <item x="105"/>
        <item x="48"/>
        <item x="88"/>
        <item x="152"/>
        <item x="32"/>
        <item x="33"/>
        <item x="235"/>
        <item x="121"/>
        <item x="138"/>
        <item x="123"/>
        <item x="122"/>
        <item x="128"/>
        <item x="36"/>
        <item x="133"/>
        <item x="107"/>
        <item x="58"/>
        <item x="17"/>
        <item x="139"/>
        <item x="97"/>
        <item x="151"/>
        <item x="56"/>
        <item x="104"/>
        <item x="5"/>
        <item x="201"/>
        <item x="102"/>
        <item x="94"/>
        <item x="106"/>
        <item x="170"/>
        <item x="95"/>
        <item x="50"/>
        <item x="229"/>
        <item x="20"/>
        <item x="38"/>
        <item x="61"/>
        <item x="181"/>
        <item x="180"/>
        <item x="179"/>
        <item x="178"/>
        <item x="177"/>
        <item x="176"/>
        <item x="175"/>
        <item x="174"/>
        <item x="173"/>
        <item x="172"/>
        <item x="91"/>
        <item x="90"/>
        <item x="4"/>
        <item x="23"/>
        <item x="89"/>
        <item x="87"/>
        <item x="85"/>
        <item x="84"/>
        <item x="82"/>
        <item x="83"/>
        <item x="12"/>
        <item x="13"/>
        <item x="108"/>
        <item x="116"/>
        <item x="169"/>
        <item x="31"/>
        <item x="153"/>
        <item x="142"/>
        <item x="145"/>
        <item x="146"/>
        <item x="221"/>
        <item x="231"/>
        <item x="216"/>
        <item x="202"/>
        <item x="6"/>
        <item x="113"/>
        <item x="96"/>
        <item x="213"/>
        <item x="118"/>
        <item x="212"/>
        <item x="217"/>
        <item x="112"/>
        <item x="45"/>
        <item x="44"/>
        <item x="92"/>
        <item x="124"/>
        <item x="131"/>
        <item x="117"/>
        <item x="29"/>
        <item x="103"/>
        <item x="166"/>
        <item x="182"/>
        <item x="187"/>
        <item x="188"/>
        <item x="189"/>
        <item x="190"/>
        <item x="192"/>
        <item x="193"/>
        <item x="195"/>
        <item x="196"/>
        <item x="197"/>
        <item x="198"/>
        <item x="199"/>
        <item x="203"/>
        <item x="204"/>
        <item x="210"/>
        <item x="211"/>
        <item x="214"/>
        <item x="215"/>
        <item x="218"/>
        <item x="220"/>
        <item x="222"/>
        <item x="223"/>
        <item x="224"/>
        <item x="225"/>
        <item x="226"/>
        <item x="227"/>
        <item x="228"/>
        <item x="233"/>
        <item x="234"/>
        <item x="237"/>
        <item x="238"/>
        <item x="239"/>
      </items>
    </pivotField>
    <pivotField showAll="0"/>
    <pivotField showAll="0"/>
    <pivotField numFmtId="164" showAll="0"/>
    <pivotField showAll="0"/>
    <pivotField showAll="0"/>
    <pivotField axis="axisCol" showAll="0">
      <items count="83">
        <item x="81"/>
        <item x="14"/>
        <item x="77"/>
        <item x="8"/>
        <item x="50"/>
        <item x="15"/>
        <item x="66"/>
        <item x="29"/>
        <item x="75"/>
        <item x="62"/>
        <item x="13"/>
        <item x="18"/>
        <item x="31"/>
        <item x="65"/>
        <item x="47"/>
        <item x="2"/>
        <item x="9"/>
        <item x="11"/>
        <item x="64"/>
        <item x="44"/>
        <item x="25"/>
        <item x="16"/>
        <item x="43"/>
        <item x="19"/>
        <item x="53"/>
        <item x="48"/>
        <item x="0"/>
        <item x="35"/>
        <item x="45"/>
        <item x="41"/>
        <item x="34"/>
        <item x="42"/>
        <item x="55"/>
        <item x="4"/>
        <item x="7"/>
        <item x="17"/>
        <item x="67"/>
        <item x="1"/>
        <item x="39"/>
        <item x="36"/>
        <item x="51"/>
        <item x="33"/>
        <item x="63"/>
        <item x="49"/>
        <item x="3"/>
        <item x="60"/>
        <item x="37"/>
        <item x="56"/>
        <item x="72"/>
        <item x="28"/>
        <item x="26"/>
        <item x="30"/>
        <item x="61"/>
        <item x="6"/>
        <item x="32"/>
        <item x="5"/>
        <item x="80"/>
        <item x="23"/>
        <item x="24"/>
        <item x="52"/>
        <item x="59"/>
        <item x="21"/>
        <item x="46"/>
        <item x="22"/>
        <item x="54"/>
        <item x="57"/>
        <item x="38"/>
        <item x="78"/>
        <item x="20"/>
        <item x="12"/>
        <item x="40"/>
        <item x="10"/>
        <item x="58"/>
        <item x="27"/>
        <item x="70"/>
        <item x="76"/>
        <item x="73"/>
        <item x="74"/>
        <item x="68"/>
        <item x="79"/>
        <item x="71"/>
        <item x="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Row" dataField="1" showAll="0" defaultSubtotal="0">
      <items count="3">
        <item x="1"/>
        <item x="0"/>
        <item x="2"/>
      </items>
    </pivotField>
  </pivotFields>
  <rowFields count="1">
    <field x="34"/>
  </rowFields>
  <rowItems count="2">
    <i>
      <x v="2"/>
    </i>
    <i t="grand">
      <x/>
    </i>
  </rowItems>
  <colFields count="2">
    <field x="1"/>
    <field x="7"/>
  </colFields>
  <colItems count="1">
    <i>
      <x v="85"/>
      <x v="3"/>
    </i>
  </colItems>
  <pageFields count="2">
    <pageField fld="32" item="1" hier="-1"/>
    <pageField fld="23" item="1" hier="-1"/>
  </pageFields>
  <dataFields count="1">
    <dataField name="Suma z Opóźnienie" fld="34" baseField="34" baseItem="0"/>
  </dataFields>
  <pivotTableStyleInfo name="PivotStyleLight16" showRowHeaders="1" showColHeaders="1" showRowStripes="0" showColStripes="0" showLastColumn="1"/>
  <filters count="1">
    <filter fld="34" type="captionGreaterThan" evalOrder="-1" id="6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"/>
  <sheetViews>
    <sheetView tabSelected="1" workbookViewId="0">
      <selection activeCell="C3" sqref="C3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n_skoroszyt.Scalaj">
                <anchor moveWithCells="1" sizeWithCells="1">
                  <from>
                    <xdr:col>6</xdr:col>
                    <xdr:colOff>428625</xdr:colOff>
                    <xdr:row>1</xdr:row>
                    <xdr:rowOff>161925</xdr:rowOff>
                  </from>
                  <to>
                    <xdr:col>13</xdr:col>
                    <xdr:colOff>209550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12"/>
  <sheetViews>
    <sheetView workbookViewId="0"/>
  </sheetViews>
  <sheetFormatPr defaultRowHeight="15" x14ac:dyDescent="0.25"/>
  <sheetData>
    <row r="1" spans="1:5" x14ac:dyDescent="0.25">
      <c r="A1">
        <f>'Obciążenie Wydajność'!E2</f>
        <v>2015</v>
      </c>
      <c r="B1">
        <v>1</v>
      </c>
      <c r="C1" s="1" t="s">
        <v>16</v>
      </c>
      <c r="D1" s="1" t="s">
        <v>17</v>
      </c>
      <c r="E1" s="8">
        <f>NETWORKDAYS(CONCATENATE($A$1,C1),CONCATENATE($A$1,D1))</f>
        <v>22</v>
      </c>
    </row>
    <row r="2" spans="1:5" x14ac:dyDescent="0.25">
      <c r="B2">
        <v>2</v>
      </c>
      <c r="C2" s="1" t="s">
        <v>18</v>
      </c>
      <c r="D2" s="1" t="s">
        <v>19</v>
      </c>
      <c r="E2" s="8">
        <f t="shared" ref="E2:E12" si="0">NETWORKDAYS(CONCATENATE($A$1,C2),CONCATENATE($A$1,D2))</f>
        <v>20</v>
      </c>
    </row>
    <row r="3" spans="1:5" x14ac:dyDescent="0.25">
      <c r="B3">
        <v>3</v>
      </c>
      <c r="C3" s="1" t="s">
        <v>20</v>
      </c>
      <c r="D3" s="1" t="s">
        <v>21</v>
      </c>
      <c r="E3" s="8">
        <f t="shared" si="0"/>
        <v>22</v>
      </c>
    </row>
    <row r="4" spans="1:5" x14ac:dyDescent="0.25">
      <c r="B4">
        <v>4</v>
      </c>
      <c r="C4" s="1" t="s">
        <v>22</v>
      </c>
      <c r="D4" s="1" t="s">
        <v>23</v>
      </c>
      <c r="E4" s="8">
        <f t="shared" si="0"/>
        <v>22</v>
      </c>
    </row>
    <row r="5" spans="1:5" x14ac:dyDescent="0.25">
      <c r="B5">
        <v>5</v>
      </c>
      <c r="C5" s="1" t="s">
        <v>24</v>
      </c>
      <c r="D5" s="1" t="s">
        <v>25</v>
      </c>
      <c r="E5" s="8">
        <f t="shared" si="0"/>
        <v>21</v>
      </c>
    </row>
    <row r="6" spans="1:5" x14ac:dyDescent="0.25">
      <c r="B6">
        <v>6</v>
      </c>
      <c r="C6" s="1" t="s">
        <v>26</v>
      </c>
      <c r="D6" s="1" t="s">
        <v>27</v>
      </c>
      <c r="E6" s="8">
        <f t="shared" si="0"/>
        <v>22</v>
      </c>
    </row>
    <row r="7" spans="1:5" x14ac:dyDescent="0.25">
      <c r="B7">
        <v>7</v>
      </c>
      <c r="C7" s="1" t="s">
        <v>28</v>
      </c>
      <c r="D7" s="1" t="s">
        <v>29</v>
      </c>
      <c r="E7" s="8">
        <f t="shared" si="0"/>
        <v>23</v>
      </c>
    </row>
    <row r="8" spans="1:5" x14ac:dyDescent="0.25">
      <c r="B8">
        <v>8</v>
      </c>
      <c r="C8" s="1" t="s">
        <v>30</v>
      </c>
      <c r="D8" s="1" t="s">
        <v>31</v>
      </c>
      <c r="E8" s="8">
        <f t="shared" si="0"/>
        <v>21</v>
      </c>
    </row>
    <row r="9" spans="1:5" x14ac:dyDescent="0.25">
      <c r="B9">
        <v>9</v>
      </c>
      <c r="C9" s="1" t="s">
        <v>32</v>
      </c>
      <c r="D9" s="1" t="s">
        <v>33</v>
      </c>
      <c r="E9" s="8">
        <f t="shared" si="0"/>
        <v>22</v>
      </c>
    </row>
    <row r="10" spans="1:5" x14ac:dyDescent="0.25">
      <c r="B10">
        <v>10</v>
      </c>
      <c r="C10" s="1" t="s">
        <v>34</v>
      </c>
      <c r="D10" s="1" t="s">
        <v>35</v>
      </c>
      <c r="E10" s="8">
        <f t="shared" si="0"/>
        <v>22</v>
      </c>
    </row>
    <row r="11" spans="1:5" x14ac:dyDescent="0.25">
      <c r="B11">
        <v>11</v>
      </c>
      <c r="C11" s="1" t="s">
        <v>36</v>
      </c>
      <c r="D11" s="1" t="s">
        <v>37</v>
      </c>
      <c r="E11" s="8">
        <f t="shared" si="0"/>
        <v>21</v>
      </c>
    </row>
    <row r="12" spans="1:5" x14ac:dyDescent="0.25">
      <c r="B12">
        <v>12</v>
      </c>
      <c r="C12" s="1" t="s">
        <v>38</v>
      </c>
      <c r="D12" s="1" t="s">
        <v>39</v>
      </c>
      <c r="E12" s="8">
        <f t="shared" si="0"/>
        <v>23</v>
      </c>
    </row>
  </sheetData>
  <sheetProtection password="D378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/>
  <dimension ref="A1:J40"/>
  <sheetViews>
    <sheetView workbookViewId="0">
      <selection activeCell="E24" sqref="E5:F24"/>
    </sheetView>
  </sheetViews>
  <sheetFormatPr defaultRowHeight="15" x14ac:dyDescent="0.25"/>
  <cols>
    <col min="1" max="1" width="30.7109375" style="2" customWidth="1"/>
    <col min="2" max="2" width="12.42578125" style="2" customWidth="1"/>
    <col min="3" max="3" width="22.42578125" style="2" hidden="1" customWidth="1"/>
    <col min="4" max="4" width="23.85546875" style="2" hidden="1" customWidth="1"/>
    <col min="5" max="5" width="10.85546875" style="2" bestFit="1" customWidth="1"/>
    <col min="6" max="6" width="19" style="2" bestFit="1" customWidth="1"/>
    <col min="7" max="7" width="22.42578125" style="2" bestFit="1" customWidth="1"/>
    <col min="8" max="8" width="3" style="2" bestFit="1" customWidth="1"/>
    <col min="9" max="10" width="6.42578125" style="2" bestFit="1" customWidth="1"/>
    <col min="11" max="11" width="3" style="2" bestFit="1" customWidth="1"/>
    <col min="12" max="31" width="31.140625" style="2" bestFit="1" customWidth="1"/>
    <col min="32" max="32" width="29.42578125" style="2" bestFit="1" customWidth="1"/>
    <col min="33" max="33" width="34.140625" style="2" bestFit="1" customWidth="1"/>
    <col min="34" max="16384" width="9.140625" style="2"/>
  </cols>
  <sheetData>
    <row r="1" spans="1:10" x14ac:dyDescent="0.25">
      <c r="A1" s="5" t="s">
        <v>0</v>
      </c>
      <c r="B1" t="s">
        <v>2</v>
      </c>
      <c r="E1" s="3" t="s">
        <v>40</v>
      </c>
      <c r="F1" s="3" t="s">
        <v>41</v>
      </c>
      <c r="G1" s="3" t="s">
        <v>42</v>
      </c>
    </row>
    <row r="2" spans="1:10" x14ac:dyDescent="0.25">
      <c r="A2" s="5" t="s">
        <v>54</v>
      </c>
      <c r="B2" s="6">
        <v>11</v>
      </c>
      <c r="E2" s="2">
        <v>2015</v>
      </c>
      <c r="F2" s="2">
        <v>2</v>
      </c>
      <c r="G2" s="2">
        <v>8</v>
      </c>
      <c r="I2" s="4"/>
      <c r="J2" s="4"/>
    </row>
    <row r="3" spans="1:10" x14ac:dyDescent="0.25">
      <c r="I3" s="4"/>
      <c r="J3" s="4"/>
    </row>
    <row r="4" spans="1:10" x14ac:dyDescent="0.25">
      <c r="A4" s="5" t="s">
        <v>43</v>
      </c>
      <c r="B4" t="s">
        <v>44</v>
      </c>
      <c r="C4" t="s">
        <v>45</v>
      </c>
      <c r="D4" t="s">
        <v>46</v>
      </c>
      <c r="E4" s="3" t="s">
        <v>47</v>
      </c>
      <c r="F4" s="3" t="s">
        <v>48</v>
      </c>
      <c r="I4" s="4"/>
      <c r="J4" s="4"/>
    </row>
    <row r="5" spans="1:10" x14ac:dyDescent="0.25">
      <c r="A5" s="6" t="s">
        <v>8</v>
      </c>
      <c r="B5" s="7">
        <v>14</v>
      </c>
      <c r="C5" s="7">
        <v>35.159999999999997</v>
      </c>
      <c r="D5" s="7"/>
      <c r="E5" s="9"/>
      <c r="F5" s="9"/>
    </row>
    <row r="6" spans="1:10" x14ac:dyDescent="0.25">
      <c r="A6" s="6" t="s">
        <v>10</v>
      </c>
      <c r="B6" s="7">
        <v>7</v>
      </c>
      <c r="C6" s="7">
        <v>15.49</v>
      </c>
      <c r="D6" s="7"/>
      <c r="E6" s="9"/>
      <c r="F6" s="9"/>
    </row>
    <row r="7" spans="1:10" x14ac:dyDescent="0.25">
      <c r="A7" s="6" t="s">
        <v>3</v>
      </c>
      <c r="B7" s="7">
        <v>17</v>
      </c>
      <c r="C7" s="7">
        <v>24.150000000000002</v>
      </c>
      <c r="D7" s="7"/>
      <c r="E7" s="9"/>
      <c r="F7" s="9"/>
    </row>
    <row r="8" spans="1:10" x14ac:dyDescent="0.25">
      <c r="A8" s="6" t="s">
        <v>4</v>
      </c>
      <c r="B8" s="7">
        <v>14</v>
      </c>
      <c r="C8" s="7">
        <v>41.09</v>
      </c>
      <c r="D8" s="7"/>
      <c r="E8" s="9"/>
      <c r="F8" s="9"/>
    </row>
    <row r="9" spans="1:10" x14ac:dyDescent="0.25">
      <c r="A9" s="6" t="s">
        <v>53</v>
      </c>
      <c r="B9" s="7">
        <v>1</v>
      </c>
      <c r="C9" s="7">
        <v>5.66</v>
      </c>
      <c r="D9" s="7"/>
      <c r="E9" s="9"/>
      <c r="F9" s="9"/>
    </row>
    <row r="10" spans="1:10" x14ac:dyDescent="0.25">
      <c r="A10" s="6" t="s">
        <v>7</v>
      </c>
      <c r="B10" s="7">
        <v>3</v>
      </c>
      <c r="C10" s="7">
        <v>10.5</v>
      </c>
      <c r="D10" s="7"/>
      <c r="E10" s="9"/>
      <c r="F10" s="9"/>
    </row>
    <row r="11" spans="1:10" x14ac:dyDescent="0.25">
      <c r="A11" s="6" t="s">
        <v>5</v>
      </c>
      <c r="B11" s="7">
        <v>12</v>
      </c>
      <c r="C11" s="7">
        <v>32.46</v>
      </c>
      <c r="D11" s="7"/>
      <c r="E11" s="9"/>
      <c r="F11" s="9"/>
    </row>
    <row r="12" spans="1:10" x14ac:dyDescent="0.25">
      <c r="A12" s="6" t="s">
        <v>6</v>
      </c>
      <c r="B12" s="7">
        <v>10</v>
      </c>
      <c r="C12" s="7">
        <v>31.14</v>
      </c>
      <c r="D12" s="7"/>
      <c r="E12" s="9"/>
      <c r="F12" s="9"/>
    </row>
    <row r="13" spans="1:10" x14ac:dyDescent="0.25">
      <c r="A13" s="6" t="s">
        <v>9</v>
      </c>
      <c r="B13" s="7">
        <v>25</v>
      </c>
      <c r="C13" s="7">
        <v>10.400000000000004</v>
      </c>
      <c r="D13" s="7"/>
      <c r="E13" s="9"/>
      <c r="F13" s="9"/>
    </row>
    <row r="14" spans="1:10" x14ac:dyDescent="0.25">
      <c r="A14" s="6" t="s">
        <v>11</v>
      </c>
      <c r="B14" s="7">
        <v>22</v>
      </c>
      <c r="C14" s="7">
        <v>8.07</v>
      </c>
      <c r="D14" s="7"/>
      <c r="E14" s="9"/>
      <c r="F14" s="9"/>
    </row>
    <row r="15" spans="1:10" x14ac:dyDescent="0.25">
      <c r="A15" s="6" t="s">
        <v>13</v>
      </c>
      <c r="B15" s="7">
        <v>11</v>
      </c>
      <c r="C15" s="7">
        <v>22.67</v>
      </c>
      <c r="D15" s="7"/>
      <c r="E15" s="9"/>
      <c r="F15" s="9"/>
    </row>
    <row r="16" spans="1:10" x14ac:dyDescent="0.25">
      <c r="A16" s="6" t="s">
        <v>15</v>
      </c>
      <c r="B16" s="7">
        <v>1</v>
      </c>
      <c r="C16" s="7">
        <v>2</v>
      </c>
      <c r="D16" s="7"/>
      <c r="E16" s="9"/>
      <c r="F16" s="9"/>
    </row>
    <row r="17" spans="1:6" x14ac:dyDescent="0.25">
      <c r="A17" s="6" t="s">
        <v>1</v>
      </c>
      <c r="B17" s="7">
        <v>79</v>
      </c>
      <c r="C17" s="7">
        <v>21.500000000000007</v>
      </c>
      <c r="D17" s="7"/>
      <c r="E17" s="9"/>
      <c r="F17" s="9"/>
    </row>
    <row r="18" spans="1:6" x14ac:dyDescent="0.25">
      <c r="A18" s="6" t="s">
        <v>12</v>
      </c>
      <c r="B18" s="7">
        <v>27</v>
      </c>
      <c r="C18" s="7">
        <v>39.909999999999989</v>
      </c>
      <c r="D18" s="7"/>
      <c r="E18" s="9"/>
      <c r="F18" s="9"/>
    </row>
    <row r="19" spans="1:6" x14ac:dyDescent="0.25">
      <c r="A19" s="6" t="s">
        <v>62</v>
      </c>
      <c r="B19" s="7">
        <v>1</v>
      </c>
      <c r="C19" s="7"/>
      <c r="D19" s="7"/>
      <c r="E19" s="9"/>
      <c r="F19" s="9"/>
    </row>
    <row r="20" spans="1:6" x14ac:dyDescent="0.25">
      <c r="A20" s="6" t="s">
        <v>52</v>
      </c>
      <c r="B20" s="7">
        <v>4</v>
      </c>
      <c r="C20" s="7">
        <v>8</v>
      </c>
      <c r="D20" s="7"/>
      <c r="E20" s="9"/>
      <c r="F20" s="9"/>
    </row>
    <row r="21" spans="1:6" x14ac:dyDescent="0.25">
      <c r="A21" s="6" t="s">
        <v>61</v>
      </c>
      <c r="B21" s="7">
        <v>3</v>
      </c>
      <c r="C21" s="7">
        <v>4</v>
      </c>
      <c r="D21" s="7"/>
      <c r="E21" s="9"/>
      <c r="F21" s="9"/>
    </row>
    <row r="22" spans="1:6" x14ac:dyDescent="0.25">
      <c r="A22" s="6" t="s">
        <v>60</v>
      </c>
      <c r="B22" s="7">
        <v>2</v>
      </c>
      <c r="C22" s="7">
        <v>14.5</v>
      </c>
      <c r="D22" s="7"/>
      <c r="E22" s="9"/>
      <c r="F22" s="9"/>
    </row>
    <row r="23" spans="1:6" x14ac:dyDescent="0.25">
      <c r="A23" s="6" t="s">
        <v>14</v>
      </c>
      <c r="B23" s="7">
        <v>10</v>
      </c>
      <c r="C23" s="7">
        <v>47</v>
      </c>
      <c r="D23" s="7"/>
      <c r="E23" s="9"/>
      <c r="F23" s="9"/>
    </row>
    <row r="24" spans="1:6" x14ac:dyDescent="0.25">
      <c r="A24" s="6" t="s">
        <v>49</v>
      </c>
      <c r="B24" s="7">
        <v>263</v>
      </c>
      <c r="C24" s="7">
        <v>373.69999999999993</v>
      </c>
      <c r="D24" s="7"/>
      <c r="E24" s="10"/>
      <c r="F24" s="10"/>
    </row>
    <row r="25" spans="1:6" x14ac:dyDescent="0.25">
      <c r="E25"/>
      <c r="F25"/>
    </row>
    <row r="26" spans="1:6" x14ac:dyDescent="0.25">
      <c r="E26"/>
      <c r="F26"/>
    </row>
    <row r="27" spans="1:6" x14ac:dyDescent="0.25">
      <c r="E27"/>
      <c r="F27"/>
    </row>
    <row r="28" spans="1:6" x14ac:dyDescent="0.25">
      <c r="E28"/>
      <c r="F28"/>
    </row>
    <row r="29" spans="1:6" x14ac:dyDescent="0.25">
      <c r="E29"/>
      <c r="F29"/>
    </row>
    <row r="30" spans="1:6" x14ac:dyDescent="0.25">
      <c r="E30"/>
      <c r="F30"/>
    </row>
    <row r="31" spans="1:6" x14ac:dyDescent="0.25">
      <c r="E31"/>
      <c r="F31"/>
    </row>
    <row r="32" spans="1:6" x14ac:dyDescent="0.25">
      <c r="E32"/>
      <c r="F32"/>
    </row>
    <row r="33" spans="5:6" x14ac:dyDescent="0.25">
      <c r="E33"/>
      <c r="F33"/>
    </row>
    <row r="34" spans="5:6" x14ac:dyDescent="0.25">
      <c r="E34"/>
      <c r="F34"/>
    </row>
    <row r="35" spans="5:6" x14ac:dyDescent="0.25">
      <c r="E35"/>
      <c r="F35"/>
    </row>
    <row r="36" spans="5:6" x14ac:dyDescent="0.25">
      <c r="E36"/>
      <c r="F36"/>
    </row>
    <row r="37" spans="5:6" x14ac:dyDescent="0.25">
      <c r="E37"/>
      <c r="F37"/>
    </row>
    <row r="38" spans="5:6" x14ac:dyDescent="0.25">
      <c r="E38"/>
      <c r="F38"/>
    </row>
    <row r="39" spans="5:6" x14ac:dyDescent="0.25">
      <c r="E39"/>
      <c r="F39"/>
    </row>
    <row r="40" spans="5:6" x14ac:dyDescent="0.25">
      <c r="E40"/>
      <c r="F40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9"/>
  <dimension ref="A1:ER11"/>
  <sheetViews>
    <sheetView workbookViewId="0">
      <selection activeCell="C9" sqref="C9"/>
    </sheetView>
  </sheetViews>
  <sheetFormatPr defaultRowHeight="15" x14ac:dyDescent="0.25"/>
  <cols>
    <col min="1" max="1" width="21" style="2" bestFit="1" customWidth="1"/>
    <col min="2" max="2" width="10" style="2" bestFit="1" customWidth="1"/>
    <col min="3" max="3" width="7.85546875" style="2" customWidth="1"/>
    <col min="4" max="5" width="7.85546875" style="2" bestFit="1" customWidth="1"/>
    <col min="6" max="6" width="8" style="2" customWidth="1"/>
    <col min="7" max="8" width="6.85546875" style="2" bestFit="1" customWidth="1"/>
    <col min="9" max="9" width="10" style="2" bestFit="1" customWidth="1"/>
    <col min="10" max="10" width="7.140625" style="2" bestFit="1" customWidth="1"/>
    <col min="11" max="11" width="8.7109375" style="2" bestFit="1" customWidth="1"/>
    <col min="12" max="13" width="10" style="2" customWidth="1"/>
    <col min="14" max="14" width="8" style="2" bestFit="1" customWidth="1"/>
    <col min="15" max="15" width="8.7109375" style="2" bestFit="1" customWidth="1"/>
    <col min="16" max="16" width="6.85546875" style="2" bestFit="1" customWidth="1"/>
    <col min="17" max="19" width="10" style="2" bestFit="1" customWidth="1"/>
    <col min="20" max="20" width="7.42578125" style="2" bestFit="1" customWidth="1"/>
    <col min="21" max="21" width="10.42578125" style="2" bestFit="1" customWidth="1"/>
    <col min="22" max="22" width="8" style="2" bestFit="1" customWidth="1"/>
    <col min="23" max="23" width="6.85546875" style="2" bestFit="1" customWidth="1"/>
    <col min="24" max="24" width="7.85546875" style="2" customWidth="1"/>
    <col min="25" max="27" width="7.85546875" style="2" bestFit="1" customWidth="1"/>
    <col min="28" max="28" width="10" style="2" bestFit="1" customWidth="1"/>
    <col min="29" max="33" width="7.85546875" style="2" bestFit="1" customWidth="1"/>
    <col min="34" max="36" width="7.85546875" style="2" customWidth="1"/>
    <col min="37" max="38" width="7.85546875" style="2" bestFit="1" customWidth="1"/>
    <col min="39" max="39" width="7.85546875" style="2" customWidth="1"/>
    <col min="40" max="40" width="10" style="2" bestFit="1" customWidth="1"/>
    <col min="41" max="41" width="7.85546875" style="2" customWidth="1"/>
    <col min="42" max="42" width="9.28515625" style="2" bestFit="1" customWidth="1"/>
    <col min="43" max="43" width="7.85546875" style="2" bestFit="1" customWidth="1"/>
    <col min="44" max="44" width="8" style="2" bestFit="1" customWidth="1"/>
    <col min="45" max="45" width="7.85546875" style="2" bestFit="1" customWidth="1"/>
    <col min="46" max="46" width="9.28515625" style="2" bestFit="1" customWidth="1"/>
    <col min="47" max="47" width="8.28515625" style="2" bestFit="1" customWidth="1"/>
    <col min="48" max="49" width="8" style="2" bestFit="1" customWidth="1"/>
    <col min="50" max="51" width="7.85546875" style="2" bestFit="1" customWidth="1"/>
    <col min="52" max="52" width="10.28515625" style="2" bestFit="1" customWidth="1"/>
    <col min="53" max="54" width="9.28515625" style="2" bestFit="1" customWidth="1"/>
    <col min="55" max="55" width="10" style="2" customWidth="1"/>
    <col min="56" max="56" width="8.28515625" style="2" bestFit="1" customWidth="1"/>
    <col min="57" max="60" width="7.85546875" style="2" bestFit="1" customWidth="1"/>
    <col min="61" max="61" width="19.85546875" style="2" bestFit="1" customWidth="1"/>
    <col min="62" max="67" width="7.85546875" style="2" bestFit="1" customWidth="1"/>
    <col min="68" max="68" width="8.7109375" style="2" bestFit="1" customWidth="1"/>
    <col min="69" max="69" width="7.85546875" style="2" bestFit="1" customWidth="1"/>
    <col min="70" max="71" width="7.85546875" style="2" customWidth="1"/>
    <col min="72" max="72" width="7.85546875" style="2" bestFit="1" customWidth="1"/>
    <col min="73" max="73" width="8.7109375" style="2" bestFit="1" customWidth="1"/>
    <col min="74" max="74" width="7.85546875" style="2" customWidth="1"/>
    <col min="75" max="78" width="7.85546875" style="2" bestFit="1" customWidth="1"/>
    <col min="79" max="79" width="7.85546875" style="2" customWidth="1"/>
    <col min="80" max="89" width="8.28515625" style="2" bestFit="1" customWidth="1"/>
    <col min="90" max="90" width="7.85546875" style="2" bestFit="1" customWidth="1"/>
    <col min="91" max="91" width="16.42578125" style="2" bestFit="1" customWidth="1"/>
    <col min="92" max="93" width="7.85546875" style="2" bestFit="1" customWidth="1"/>
    <col min="94" max="94" width="8.28515625" style="2" bestFit="1" customWidth="1"/>
    <col min="95" max="95" width="8.7109375" style="2" bestFit="1" customWidth="1"/>
    <col min="96" max="96" width="8" style="2" bestFit="1" customWidth="1"/>
    <col min="97" max="98" width="7.85546875" style="2" bestFit="1" customWidth="1"/>
    <col min="99" max="99" width="17.42578125" style="2" bestFit="1" customWidth="1"/>
    <col min="100" max="102" width="9.42578125" style="2" bestFit="1" customWidth="1"/>
    <col min="103" max="103" width="10" style="2" bestFit="1" customWidth="1"/>
    <col min="104" max="105" width="9.42578125" style="2" bestFit="1" customWidth="1"/>
    <col min="106" max="108" width="9" style="2" bestFit="1" customWidth="1"/>
    <col min="109" max="111" width="10" style="2" bestFit="1" customWidth="1"/>
    <col min="112" max="112" width="13.28515625" style="2" bestFit="1" customWidth="1"/>
    <col min="113" max="113" width="22.5703125" style="2" bestFit="1" customWidth="1"/>
    <col min="114" max="114" width="7.85546875" style="2" bestFit="1" customWidth="1"/>
    <col min="115" max="116" width="9.42578125" style="2" bestFit="1" customWidth="1"/>
    <col min="117" max="117" width="8.85546875" style="2" bestFit="1" customWidth="1"/>
    <col min="118" max="118" width="9" style="2" bestFit="1" customWidth="1"/>
    <col min="119" max="119" width="7.85546875" style="2" bestFit="1" customWidth="1"/>
    <col min="120" max="120" width="9.5703125" style="2" bestFit="1" customWidth="1"/>
    <col min="121" max="121" width="11.28515625" style="2" customWidth="1"/>
    <col min="122" max="122" width="11.28515625" style="2" bestFit="1" customWidth="1"/>
    <col min="123" max="123" width="7.85546875" style="2" customWidth="1"/>
    <col min="124" max="124" width="7.85546875" style="2" bestFit="1" customWidth="1"/>
    <col min="125" max="125" width="10" style="2" bestFit="1" customWidth="1"/>
    <col min="126" max="126" width="7.85546875" style="2" bestFit="1" customWidth="1"/>
    <col min="127" max="127" width="10" style="2" customWidth="1"/>
    <col min="128" max="128" width="10" style="2" bestFit="1" customWidth="1"/>
    <col min="129" max="129" width="14.42578125" style="2" bestFit="1" customWidth="1"/>
    <col min="130" max="130" width="10" style="2" customWidth="1"/>
    <col min="131" max="131" width="10" style="2" bestFit="1" customWidth="1"/>
    <col min="132" max="132" width="10.7109375" style="2" bestFit="1" customWidth="1"/>
    <col min="133" max="133" width="10.28515625" style="2" bestFit="1" customWidth="1"/>
    <col min="134" max="134" width="10" style="2" bestFit="1" customWidth="1"/>
    <col min="135" max="135" width="8.85546875" style="2" bestFit="1" customWidth="1"/>
    <col min="136" max="136" width="7.85546875" style="2" bestFit="1" customWidth="1"/>
    <col min="137" max="137" width="6.85546875" style="2" bestFit="1" customWidth="1"/>
    <col min="138" max="138" width="8.7109375" style="2" bestFit="1" customWidth="1"/>
    <col min="139" max="139" width="6.85546875" style="2" customWidth="1"/>
    <col min="140" max="140" width="6.85546875" style="2" bestFit="1" customWidth="1"/>
    <col min="141" max="141" width="8" style="2" bestFit="1" customWidth="1"/>
    <col min="142" max="142" width="13.5703125" style="2" bestFit="1" customWidth="1"/>
    <col min="143" max="143" width="12.28515625" style="2" bestFit="1" customWidth="1"/>
    <col min="144" max="144" width="7.85546875" style="2" customWidth="1"/>
    <col min="145" max="145" width="7.85546875" style="2" bestFit="1" customWidth="1"/>
    <col min="146" max="146" width="8" style="2" bestFit="1" customWidth="1"/>
    <col min="147" max="147" width="6.5703125" style="2" bestFit="1" customWidth="1"/>
    <col min="148" max="148" width="8.7109375" style="2" bestFit="1" customWidth="1"/>
    <col min="149" max="149" width="13.7109375" style="2" customWidth="1"/>
    <col min="150" max="150" width="11.28515625" style="2" bestFit="1" customWidth="1"/>
    <col min="151" max="151" width="10.140625" style="2" customWidth="1"/>
    <col min="152" max="152" width="13.7109375" style="2" customWidth="1"/>
    <col min="153" max="153" width="11.28515625" style="2" customWidth="1"/>
    <col min="154" max="154" width="10.140625" style="2" customWidth="1"/>
    <col min="155" max="155" width="13.7109375" style="2" customWidth="1"/>
    <col min="156" max="156" width="11.28515625" style="2" customWidth="1"/>
    <col min="157" max="157" width="10.140625" style="2" customWidth="1"/>
    <col min="158" max="158" width="13.7109375" style="2" customWidth="1"/>
    <col min="159" max="159" width="11.28515625" style="2" customWidth="1"/>
    <col min="160" max="160" width="10.140625" style="2" customWidth="1"/>
    <col min="161" max="161" width="13.7109375" style="2" customWidth="1"/>
    <col min="162" max="162" width="11.28515625" style="2" bestFit="1" customWidth="1"/>
    <col min="163" max="163" width="10.140625" style="2" customWidth="1"/>
    <col min="164" max="164" width="13.7109375" style="2" customWidth="1"/>
    <col min="165" max="165" width="11.28515625" style="2" customWidth="1"/>
    <col min="166" max="166" width="10.140625" style="2" customWidth="1"/>
    <col min="167" max="167" width="13.7109375" style="2" customWidth="1"/>
    <col min="168" max="168" width="11.28515625" style="2" customWidth="1"/>
    <col min="169" max="169" width="10.140625" style="2" customWidth="1"/>
    <col min="170" max="170" width="13.7109375" style="2" customWidth="1"/>
    <col min="171" max="171" width="11.28515625" style="2" customWidth="1"/>
    <col min="172" max="172" width="10.140625" style="2" customWidth="1"/>
    <col min="173" max="173" width="13.7109375" style="2" customWidth="1"/>
    <col min="174" max="174" width="11.28515625" style="2" bestFit="1" customWidth="1"/>
    <col min="175" max="175" width="10.140625" style="2" customWidth="1"/>
    <col min="176" max="176" width="13.7109375" style="2" customWidth="1"/>
    <col min="177" max="177" width="11.28515625" style="2" customWidth="1"/>
    <col min="178" max="178" width="19.28515625" style="2" customWidth="1"/>
    <col min="179" max="179" width="22.85546875" style="2" customWidth="1"/>
    <col min="180" max="180" width="6.85546875" style="2" customWidth="1"/>
    <col min="181" max="181" width="9.5703125" style="2" customWidth="1"/>
    <col min="182" max="182" width="13.140625" style="2" customWidth="1"/>
    <col min="183" max="183" width="12.28515625" style="2" customWidth="1"/>
    <col min="184" max="184" width="9" style="2" customWidth="1"/>
    <col min="185" max="185" width="11.85546875" style="2" customWidth="1"/>
    <col min="186" max="186" width="12.42578125" style="2" customWidth="1"/>
    <col min="187" max="187" width="10.42578125" style="2" customWidth="1"/>
    <col min="188" max="188" width="14" style="2" customWidth="1"/>
    <col min="189" max="189" width="12.42578125" style="2" customWidth="1"/>
    <col min="190" max="190" width="10.42578125" style="2" customWidth="1"/>
    <col min="191" max="191" width="14" style="2" customWidth="1"/>
    <col min="192" max="192" width="12.42578125" style="2" customWidth="1"/>
    <col min="193" max="193" width="14.28515625" style="2" customWidth="1"/>
    <col min="194" max="194" width="11.28515625" style="2" bestFit="1" customWidth="1"/>
    <col min="195" max="195" width="8.42578125" style="2" customWidth="1"/>
    <col min="196" max="196" width="6.28515625" style="2" customWidth="1"/>
    <col min="197" max="197" width="11.85546875" style="2" bestFit="1" customWidth="1"/>
    <col min="198" max="198" width="11.28515625" style="2" bestFit="1" customWidth="1"/>
    <col min="199" max="199" width="10.140625" style="2" bestFit="1" customWidth="1"/>
    <col min="200" max="200" width="6.28515625" style="2" customWidth="1"/>
    <col min="201" max="201" width="13.7109375" style="2" bestFit="1" customWidth="1"/>
    <col min="202" max="202" width="11.28515625" style="2" bestFit="1" customWidth="1"/>
    <col min="203" max="203" width="10.140625" style="2" bestFit="1" customWidth="1"/>
    <col min="204" max="204" width="6.28515625" style="2" customWidth="1"/>
    <col min="205" max="205" width="13.7109375" style="2" bestFit="1" customWidth="1"/>
    <col min="206" max="206" width="11.28515625" style="2" bestFit="1" customWidth="1"/>
    <col min="207" max="207" width="10.140625" style="2" bestFit="1" customWidth="1"/>
    <col min="208" max="208" width="6.28515625" style="2" customWidth="1"/>
    <col min="209" max="209" width="13.7109375" style="2" bestFit="1" customWidth="1"/>
    <col min="210" max="210" width="11.28515625" style="2" bestFit="1" customWidth="1"/>
    <col min="211" max="211" width="10.140625" style="2" bestFit="1" customWidth="1"/>
    <col min="212" max="212" width="6.28515625" style="2" customWidth="1"/>
    <col min="213" max="213" width="13.7109375" style="2" bestFit="1" customWidth="1"/>
    <col min="214" max="214" width="11.28515625" style="2" bestFit="1" customWidth="1"/>
    <col min="215" max="215" width="10.140625" style="2" bestFit="1" customWidth="1"/>
    <col min="216" max="216" width="6.28515625" style="2" customWidth="1"/>
    <col min="217" max="217" width="13.7109375" style="2" bestFit="1" customWidth="1"/>
    <col min="218" max="218" width="11.28515625" style="2" bestFit="1" customWidth="1"/>
    <col min="219" max="219" width="10.140625" style="2" bestFit="1" customWidth="1"/>
    <col min="220" max="220" width="6.28515625" style="2" customWidth="1"/>
    <col min="221" max="221" width="13.7109375" style="2" bestFit="1" customWidth="1"/>
    <col min="222" max="222" width="11.28515625" style="2" bestFit="1" customWidth="1"/>
    <col min="223" max="223" width="10.140625" style="2" bestFit="1" customWidth="1"/>
    <col min="224" max="224" width="6.28515625" style="2" customWidth="1"/>
    <col min="225" max="225" width="13.7109375" style="2" bestFit="1" customWidth="1"/>
    <col min="226" max="226" width="11.28515625" style="2" bestFit="1" customWidth="1"/>
    <col min="227" max="227" width="10.140625" style="2" bestFit="1" customWidth="1"/>
    <col min="228" max="228" width="6.28515625" style="2" customWidth="1"/>
    <col min="229" max="229" width="13.7109375" style="2" bestFit="1" customWidth="1"/>
    <col min="230" max="230" width="11.28515625" style="2" bestFit="1" customWidth="1"/>
    <col min="231" max="231" width="10.140625" style="2" bestFit="1" customWidth="1"/>
    <col min="232" max="232" width="6.28515625" style="2" customWidth="1"/>
    <col min="233" max="233" width="13.7109375" style="2" bestFit="1" customWidth="1"/>
    <col min="234" max="234" width="11.28515625" style="2" bestFit="1" customWidth="1"/>
    <col min="235" max="235" width="10.140625" style="2" bestFit="1" customWidth="1"/>
    <col min="236" max="236" width="6.28515625" style="2" customWidth="1"/>
    <col min="237" max="237" width="13.7109375" style="2" bestFit="1" customWidth="1"/>
    <col min="238" max="238" width="11.28515625" style="2" bestFit="1" customWidth="1"/>
    <col min="239" max="239" width="19.28515625" style="2" bestFit="1" customWidth="1"/>
    <col min="240" max="240" width="6.28515625" style="2" customWidth="1"/>
    <col min="241" max="241" width="22.85546875" style="2" bestFit="1" customWidth="1"/>
    <col min="242" max="242" width="6.85546875" style="2" customWidth="1"/>
    <col min="243" max="243" width="9.5703125" style="2" bestFit="1" customWidth="1"/>
    <col min="244" max="244" width="11.85546875" style="2" bestFit="1" customWidth="1"/>
    <col min="245" max="245" width="13.140625" style="2" bestFit="1" customWidth="1"/>
    <col min="246" max="246" width="12.28515625" style="2" bestFit="1" customWidth="1"/>
    <col min="247" max="247" width="9" style="2" customWidth="1"/>
    <col min="248" max="248" width="6.28515625" style="2" customWidth="1"/>
    <col min="249" max="249" width="11.85546875" style="2" bestFit="1" customWidth="1"/>
    <col min="250" max="250" width="12.42578125" style="2" bestFit="1" customWidth="1"/>
    <col min="251" max="251" width="10.42578125" style="2" bestFit="1" customWidth="1"/>
    <col min="252" max="252" width="6.28515625" style="2" customWidth="1"/>
    <col min="253" max="253" width="14" style="2" bestFit="1" customWidth="1"/>
    <col min="254" max="254" width="12.42578125" style="2" bestFit="1" customWidth="1"/>
    <col min="255" max="255" width="10.42578125" style="2" bestFit="1" customWidth="1"/>
    <col min="256" max="256" width="6.28515625" style="2" customWidth="1"/>
    <col min="257" max="257" width="14" style="2" bestFit="1" customWidth="1"/>
    <col min="258" max="258" width="12.42578125" style="2" bestFit="1" customWidth="1"/>
    <col min="259" max="259" width="14.28515625" style="2" bestFit="1" customWidth="1"/>
    <col min="260" max="16384" width="9.140625" style="2"/>
  </cols>
  <sheetData>
    <row r="1" spans="1:148" x14ac:dyDescent="0.25">
      <c r="A1" s="5" t="s">
        <v>54</v>
      </c>
      <c r="B1" s="6">
        <v>11</v>
      </c>
    </row>
    <row r="2" spans="1:148" x14ac:dyDescent="0.25">
      <c r="A2" s="5" t="s">
        <v>0</v>
      </c>
      <c r="B2" t="s">
        <v>2</v>
      </c>
    </row>
    <row r="4" spans="1:148" x14ac:dyDescent="0.25">
      <c r="A4" s="5" t="s">
        <v>55</v>
      </c>
      <c r="B4" s="5" t="s">
        <v>51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</row>
    <row r="5" spans="1:148" x14ac:dyDescent="0.25">
      <c r="A5"/>
      <c r="B5">
        <v>9692</v>
      </c>
      <c r="C5">
        <v>11084</v>
      </c>
      <c r="D5">
        <v>11099</v>
      </c>
      <c r="E5">
        <v>11134</v>
      </c>
      <c r="F5">
        <v>11616</v>
      </c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</row>
    <row r="6" spans="1:148" x14ac:dyDescent="0.25">
      <c r="A6" s="5" t="s">
        <v>43</v>
      </c>
      <c r="B6" t="s">
        <v>59</v>
      </c>
      <c r="C6" t="s">
        <v>58</v>
      </c>
      <c r="D6" t="s">
        <v>58</v>
      </c>
      <c r="E6" t="s">
        <v>58</v>
      </c>
      <c r="F6" t="s">
        <v>57</v>
      </c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</row>
    <row r="7" spans="1:148" x14ac:dyDescent="0.25">
      <c r="A7" s="6">
        <v>6</v>
      </c>
      <c r="B7" s="7">
        <v>6</v>
      </c>
      <c r="C7" s="7"/>
      <c r="D7" s="7"/>
      <c r="E7" s="7"/>
      <c r="F7" s="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</row>
    <row r="8" spans="1:148" x14ac:dyDescent="0.25">
      <c r="A8" s="6">
        <v>1</v>
      </c>
      <c r="B8" s="7"/>
      <c r="C8" s="7">
        <v>1</v>
      </c>
      <c r="D8" s="7">
        <v>1</v>
      </c>
      <c r="E8" s="7">
        <v>1</v>
      </c>
      <c r="F8" s="7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</row>
    <row r="9" spans="1:148" x14ac:dyDescent="0.25">
      <c r="A9" s="6">
        <v>3</v>
      </c>
      <c r="B9" s="7"/>
      <c r="C9" s="7"/>
      <c r="D9" s="7"/>
      <c r="E9" s="7"/>
      <c r="F9" s="7">
        <v>3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</row>
    <row r="10" spans="1:148" x14ac:dyDescent="0.25">
      <c r="A10" s="6" t="s">
        <v>49</v>
      </c>
      <c r="B10" s="7">
        <v>6</v>
      </c>
      <c r="C10" s="7">
        <v>1</v>
      </c>
      <c r="D10" s="7">
        <v>1</v>
      </c>
      <c r="E10" s="7">
        <v>1</v>
      </c>
      <c r="F10" s="7">
        <v>3</v>
      </c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</row>
    <row r="11" spans="1:1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0"/>
  <dimension ref="A1:MY11"/>
  <sheetViews>
    <sheetView workbookViewId="0">
      <selection activeCell="A7" sqref="A7"/>
    </sheetView>
  </sheetViews>
  <sheetFormatPr defaultRowHeight="15" x14ac:dyDescent="0.25"/>
  <cols>
    <col min="1" max="1" width="18.140625" style="2" bestFit="1" customWidth="1"/>
    <col min="2" max="2" width="17.7109375" style="2" bestFit="1" customWidth="1"/>
    <col min="3" max="3" width="7.85546875" style="2" customWidth="1"/>
    <col min="4" max="4" width="6.85546875" style="2" customWidth="1"/>
    <col min="5" max="5" width="8" style="2" customWidth="1"/>
    <col min="6" max="6" width="14.42578125" style="2" customWidth="1"/>
    <col min="7" max="7" width="8" style="2" customWidth="1"/>
    <col min="8" max="8" width="6.85546875" style="2" customWidth="1"/>
    <col min="9" max="10" width="10" style="2" customWidth="1"/>
    <col min="11" max="11" width="6.85546875" style="2" customWidth="1"/>
    <col min="12" max="12" width="13.5703125" style="2" customWidth="1"/>
    <col min="13" max="13" width="12.28515625" style="2" customWidth="1"/>
    <col min="14" max="14" width="6.85546875" style="2" customWidth="1"/>
    <col min="15" max="15" width="10.7109375" style="2" customWidth="1"/>
    <col min="16" max="17" width="6.85546875" style="2" customWidth="1"/>
    <col min="18" max="18" width="9.5703125" style="2" customWidth="1"/>
    <col min="19" max="20" width="10" style="2" customWidth="1"/>
    <col min="21" max="21" width="8.42578125" style="2" customWidth="1"/>
    <col min="22" max="22" width="8.7109375" style="2" customWidth="1"/>
    <col min="23" max="23" width="6.85546875" style="2" customWidth="1"/>
    <col min="24" max="24" width="8.7109375" style="2" customWidth="1"/>
    <col min="25" max="25" width="7.7109375" style="2" customWidth="1"/>
    <col min="26" max="26" width="6.85546875" style="2" customWidth="1"/>
    <col min="27" max="28" width="10" style="2" customWidth="1"/>
    <col min="29" max="29" width="6.85546875" style="2" customWidth="1"/>
    <col min="30" max="30" width="7.140625" style="2" customWidth="1"/>
    <col min="31" max="31" width="8.7109375" style="2" customWidth="1"/>
    <col min="32" max="33" width="10" style="2" customWidth="1"/>
    <col min="34" max="35" width="6.85546875" style="2" customWidth="1"/>
    <col min="36" max="36" width="11.28515625" style="2" customWidth="1"/>
    <col min="37" max="37" width="7.140625" style="2" customWidth="1"/>
    <col min="38" max="38" width="11.28515625" style="2" customWidth="1"/>
    <col min="39" max="39" width="10" style="2" customWidth="1"/>
    <col min="40" max="40" width="11.28515625" style="2" customWidth="1"/>
    <col min="41" max="41" width="7.7109375" style="2" customWidth="1"/>
    <col min="42" max="42" width="9.42578125" style="2" customWidth="1"/>
    <col min="43" max="43" width="6.85546875" style="2" customWidth="1"/>
    <col min="44" max="47" width="10" style="2" customWidth="1"/>
    <col min="48" max="48" width="6.85546875" style="2" customWidth="1"/>
    <col min="49" max="49" width="8" style="2" customWidth="1"/>
    <col min="50" max="51" width="6.85546875" style="2" customWidth="1"/>
    <col min="52" max="56" width="7.85546875" style="2" customWidth="1"/>
    <col min="57" max="57" width="10" style="2" customWidth="1"/>
    <col min="58" max="60" width="7.85546875" style="2" customWidth="1"/>
    <col min="61" max="61" width="10" style="2" customWidth="1"/>
    <col min="62" max="62" width="10.28515625" style="2" customWidth="1"/>
    <col min="63" max="68" width="7.85546875" style="2" customWidth="1"/>
    <col min="69" max="69" width="8.7109375" style="2" customWidth="1"/>
    <col min="70" max="71" width="10" style="2" customWidth="1"/>
    <col min="72" max="74" width="7.85546875" style="2" customWidth="1"/>
    <col min="75" max="76" width="9.28515625" style="2" customWidth="1"/>
    <col min="77" max="78" width="7.85546875" style="2" customWidth="1"/>
    <col min="79" max="79" width="8" style="2" customWidth="1"/>
    <col min="80" max="80" width="10.28515625" style="2" customWidth="1"/>
    <col min="81" max="81" width="9.5703125" style="2" customWidth="1"/>
    <col min="82" max="83" width="7.85546875" style="2" customWidth="1"/>
    <col min="84" max="84" width="9.28515625" style="2" customWidth="1"/>
    <col min="85" max="85" width="7.85546875" style="2" customWidth="1"/>
    <col min="86" max="86" width="8.28515625" style="2" customWidth="1"/>
    <col min="87" max="88" width="10" style="2" customWidth="1"/>
    <col min="89" max="89" width="10.7109375" style="2" customWidth="1"/>
    <col min="90" max="90" width="10" style="2" customWidth="1"/>
    <col min="91" max="91" width="7.85546875" style="2" customWidth="1"/>
    <col min="92" max="93" width="10.28515625" style="2" customWidth="1"/>
    <col min="94" max="94" width="7.85546875" style="2" customWidth="1"/>
    <col min="95" max="95" width="8.7109375" style="2" customWidth="1"/>
    <col min="96" max="96" width="7.85546875" style="2" customWidth="1"/>
    <col min="97" max="97" width="10" style="2" customWidth="1"/>
    <col min="98" max="98" width="7.85546875" style="2" customWidth="1"/>
    <col min="99" max="101" width="10" style="2" customWidth="1"/>
    <col min="102" max="105" width="7.85546875" style="2" customWidth="1"/>
    <col min="106" max="106" width="10.28515625" style="2" customWidth="1"/>
    <col min="107" max="110" width="7.85546875" style="2" customWidth="1"/>
    <col min="111" max="111" width="11.28515625" style="2" customWidth="1"/>
    <col min="112" max="112" width="8.85546875" style="2" customWidth="1"/>
    <col min="113" max="115" width="7.85546875" style="2" customWidth="1"/>
    <col min="116" max="116" width="11.5703125" style="2" customWidth="1"/>
    <col min="117" max="117" width="7.85546875" style="2" customWidth="1"/>
    <col min="118" max="118" width="10" style="2" customWidth="1"/>
    <col min="119" max="119" width="11.5703125" style="2" customWidth="1"/>
    <col min="120" max="120" width="11.42578125" style="2" customWidth="1"/>
    <col min="121" max="121" width="9.28515625" style="2" customWidth="1"/>
    <col min="122" max="124" width="7.85546875" style="2" customWidth="1"/>
    <col min="125" max="125" width="9.5703125" style="2" customWidth="1"/>
    <col min="126" max="127" width="7.85546875" style="2" customWidth="1"/>
    <col min="128" max="128" width="9.5703125" style="2" customWidth="1"/>
    <col min="129" max="129" width="7.85546875" style="2" customWidth="1"/>
    <col min="130" max="132" width="11.28515625" style="2" customWidth="1"/>
    <col min="133" max="133" width="13.7109375" style="2" customWidth="1"/>
    <col min="134" max="136" width="7.85546875" style="2" customWidth="1"/>
    <col min="137" max="137" width="9.5703125" style="2" customWidth="1"/>
    <col min="138" max="138" width="17.42578125" style="2" customWidth="1"/>
    <col min="139" max="139" width="6" style="2" customWidth="1"/>
    <col min="140" max="140" width="7.5703125" style="2" customWidth="1"/>
    <col min="141" max="141" width="9.42578125" style="2" customWidth="1"/>
    <col min="142" max="145" width="9" style="2" customWidth="1"/>
    <col min="146" max="147" width="10" style="2" customWidth="1"/>
    <col min="148" max="148" width="13.28515625" style="2" customWidth="1"/>
    <col min="149" max="161" width="13.42578125" style="2" customWidth="1"/>
    <col min="162" max="162" width="13.42578125" style="2" bestFit="1" customWidth="1"/>
    <col min="163" max="163" width="13.7109375" style="2" bestFit="1" customWidth="1"/>
    <col min="164" max="184" width="13.42578125" style="2" customWidth="1"/>
    <col min="185" max="185" width="13.42578125" style="2" bestFit="1" customWidth="1"/>
    <col min="186" max="186" width="14.42578125" style="2" bestFit="1" customWidth="1"/>
    <col min="187" max="270" width="13.42578125" style="2" customWidth="1"/>
    <col min="271" max="271" width="13.42578125" style="2" bestFit="1" customWidth="1"/>
    <col min="272" max="272" width="13.85546875" style="2" bestFit="1" customWidth="1"/>
    <col min="273" max="294" width="13.42578125" style="2" customWidth="1"/>
    <col min="295" max="295" width="13.42578125" style="2" bestFit="1" customWidth="1"/>
    <col min="296" max="296" width="12.5703125" style="2" bestFit="1" customWidth="1"/>
    <col min="297" max="297" width="13.7109375" style="2" bestFit="1" customWidth="1"/>
    <col min="298" max="298" width="12.5703125" style="2" bestFit="1" customWidth="1"/>
    <col min="299" max="299" width="13.42578125" style="2" bestFit="1" customWidth="1"/>
    <col min="300" max="300" width="13.7109375" style="2" bestFit="1" customWidth="1"/>
    <col min="301" max="303" width="13.42578125" style="2" customWidth="1"/>
    <col min="304" max="304" width="13.42578125" style="2" bestFit="1" customWidth="1"/>
    <col min="305" max="305" width="13.5703125" style="2" bestFit="1" customWidth="1"/>
    <col min="306" max="310" width="13.42578125" style="2" customWidth="1"/>
    <col min="311" max="311" width="13.42578125" style="2" bestFit="1" customWidth="1"/>
    <col min="312" max="312" width="12.5703125" style="2" bestFit="1" customWidth="1"/>
    <col min="313" max="326" width="13.42578125" style="2" customWidth="1"/>
    <col min="327" max="327" width="13.42578125" style="2" bestFit="1" customWidth="1"/>
    <col min="328" max="328" width="13.7109375" style="2" customWidth="1"/>
    <col min="329" max="329" width="13.7109375" style="2" bestFit="1" customWidth="1"/>
    <col min="330" max="339" width="13.42578125" style="2" customWidth="1"/>
    <col min="340" max="340" width="13.42578125" style="2" bestFit="1" customWidth="1"/>
    <col min="341" max="341" width="12.5703125" style="2" bestFit="1" customWidth="1"/>
    <col min="342" max="342" width="13.7109375" style="2" bestFit="1" customWidth="1"/>
    <col min="343" max="343" width="12.5703125" style="2" customWidth="1"/>
    <col min="344" max="344" width="12.5703125" style="2" bestFit="1" customWidth="1"/>
    <col min="345" max="345" width="13.7109375" style="2" bestFit="1" customWidth="1"/>
    <col min="346" max="346" width="13.42578125" style="2" bestFit="1" customWidth="1"/>
    <col min="347" max="347" width="12.5703125" style="2" customWidth="1"/>
    <col min="348" max="348" width="12.5703125" style="2" bestFit="1" customWidth="1"/>
    <col min="349" max="349" width="13.42578125" style="2" customWidth="1"/>
    <col min="350" max="350" width="13.42578125" style="2" bestFit="1" customWidth="1"/>
    <col min="351" max="351" width="13.7109375" style="2" bestFit="1" customWidth="1"/>
    <col min="352" max="352" width="13.42578125" style="2" customWidth="1"/>
    <col min="353" max="353" width="13.42578125" style="2" bestFit="1" customWidth="1"/>
    <col min="354" max="354" width="14.42578125" style="2" bestFit="1" customWidth="1"/>
    <col min="355" max="363" width="13.42578125" style="2" customWidth="1"/>
    <col min="364" max="364" width="17" style="2" customWidth="1"/>
    <col min="365" max="365" width="13.42578125" style="2" customWidth="1"/>
    <col min="366" max="366" width="17" style="2" customWidth="1"/>
    <col min="367" max="367" width="13.42578125" style="2" customWidth="1"/>
    <col min="368" max="368" width="17" style="2" customWidth="1"/>
    <col min="369" max="369" width="13.42578125" style="2" customWidth="1"/>
    <col min="370" max="370" width="17" style="2" customWidth="1"/>
    <col min="371" max="371" width="13.42578125" style="2" customWidth="1"/>
    <col min="372" max="372" width="17" style="2" customWidth="1"/>
    <col min="373" max="373" width="13.42578125" style="2" customWidth="1"/>
    <col min="374" max="374" width="17" style="2" customWidth="1"/>
    <col min="375" max="375" width="13.42578125" style="2" customWidth="1"/>
    <col min="376" max="376" width="17" style="2" customWidth="1"/>
    <col min="377" max="377" width="13.42578125" style="2" customWidth="1"/>
    <col min="378" max="378" width="17" style="2" customWidth="1"/>
    <col min="379" max="379" width="13.42578125" style="2" customWidth="1"/>
    <col min="380" max="380" width="17" style="2" customWidth="1"/>
    <col min="381" max="381" width="13.42578125" style="2" customWidth="1"/>
    <col min="382" max="382" width="17" style="2" customWidth="1"/>
    <col min="383" max="383" width="13.42578125" style="2" customWidth="1"/>
    <col min="384" max="384" width="17" style="2" customWidth="1"/>
    <col min="385" max="385" width="13.42578125" style="2" customWidth="1"/>
    <col min="386" max="386" width="17" style="2" customWidth="1"/>
    <col min="387" max="387" width="13.42578125" style="2" customWidth="1"/>
    <col min="388" max="388" width="17" style="2" customWidth="1"/>
    <col min="389" max="389" width="13.42578125" style="2" customWidth="1"/>
    <col min="390" max="390" width="17" style="2" customWidth="1"/>
    <col min="391" max="391" width="13.42578125" style="2" customWidth="1"/>
    <col min="392" max="392" width="17" style="2" customWidth="1"/>
    <col min="393" max="393" width="13.42578125" style="2" customWidth="1"/>
    <col min="394" max="394" width="17" style="2" customWidth="1"/>
    <col min="395" max="395" width="13.42578125" style="2" customWidth="1"/>
    <col min="396" max="396" width="17" style="2" customWidth="1"/>
    <col min="397" max="397" width="13.42578125" style="2" customWidth="1"/>
    <col min="398" max="398" width="17" style="2" customWidth="1"/>
    <col min="399" max="399" width="13.42578125" style="2" customWidth="1"/>
    <col min="400" max="400" width="17" style="2" customWidth="1"/>
    <col min="401" max="401" width="13.42578125" style="2" customWidth="1"/>
    <col min="402" max="402" width="17" style="2" customWidth="1"/>
    <col min="403" max="403" width="13.42578125" style="2" customWidth="1"/>
    <col min="404" max="404" width="17" style="2" customWidth="1"/>
    <col min="405" max="405" width="13.42578125" style="2" customWidth="1"/>
    <col min="406" max="406" width="17" style="2" customWidth="1"/>
    <col min="407" max="407" width="13.42578125" style="2" customWidth="1"/>
    <col min="408" max="408" width="17" style="2" customWidth="1"/>
    <col min="409" max="409" width="13.42578125" style="2" customWidth="1"/>
    <col min="410" max="410" width="17" style="2" customWidth="1"/>
    <col min="411" max="411" width="13.42578125" style="2" customWidth="1"/>
    <col min="412" max="412" width="17" style="2" customWidth="1"/>
    <col min="413" max="413" width="13.42578125" style="2" customWidth="1"/>
    <col min="414" max="414" width="17" style="2" customWidth="1"/>
    <col min="415" max="415" width="13.42578125" style="2" customWidth="1"/>
    <col min="416" max="416" width="17" style="2" customWidth="1"/>
    <col min="417" max="417" width="13.42578125" style="2" customWidth="1"/>
    <col min="418" max="418" width="17" style="2" customWidth="1"/>
    <col min="419" max="419" width="13.42578125" style="2" customWidth="1"/>
    <col min="420" max="420" width="17" style="2" customWidth="1"/>
    <col min="421" max="421" width="13.42578125" style="2" customWidth="1"/>
    <col min="422" max="422" width="17" style="2" customWidth="1"/>
    <col min="423" max="423" width="13.42578125" style="2" customWidth="1"/>
    <col min="424" max="424" width="17" style="2" customWidth="1"/>
    <col min="425" max="425" width="13.42578125" style="2" customWidth="1"/>
    <col min="426" max="426" width="17" style="2" customWidth="1"/>
    <col min="427" max="427" width="13.42578125" style="2" customWidth="1"/>
    <col min="428" max="428" width="17" style="2" customWidth="1"/>
    <col min="429" max="429" width="13.42578125" style="2" customWidth="1"/>
    <col min="430" max="430" width="17" style="2" customWidth="1"/>
    <col min="431" max="431" width="13.42578125" style="2" customWidth="1"/>
    <col min="432" max="432" width="17" style="2" customWidth="1"/>
    <col min="433" max="433" width="13.42578125" style="2" customWidth="1"/>
    <col min="434" max="434" width="17" style="2" customWidth="1"/>
    <col min="435" max="435" width="13.42578125" style="2" customWidth="1"/>
    <col min="436" max="436" width="17" style="2" customWidth="1"/>
    <col min="437" max="437" width="13.42578125" style="2" customWidth="1"/>
    <col min="438" max="438" width="17" style="2" customWidth="1"/>
    <col min="439" max="439" width="13.42578125" style="2" customWidth="1"/>
    <col min="440" max="440" width="17" style="2" customWidth="1"/>
    <col min="441" max="441" width="13.42578125" style="2" customWidth="1"/>
    <col min="442" max="442" width="17" style="2" customWidth="1"/>
    <col min="443" max="443" width="13.42578125" style="2" customWidth="1"/>
    <col min="444" max="444" width="17" style="2" customWidth="1"/>
    <col min="445" max="445" width="13.42578125" style="2" customWidth="1"/>
    <col min="446" max="446" width="17" style="2" customWidth="1"/>
    <col min="447" max="447" width="13.42578125" style="2" customWidth="1"/>
    <col min="448" max="448" width="17" style="2" customWidth="1"/>
    <col min="449" max="449" width="13.42578125" style="2" customWidth="1"/>
    <col min="450" max="450" width="17" style="2" customWidth="1"/>
    <col min="451" max="451" width="13.42578125" style="2" customWidth="1"/>
    <col min="452" max="452" width="17" style="2" customWidth="1"/>
    <col min="453" max="453" width="13.42578125" style="2" customWidth="1"/>
    <col min="454" max="454" width="17" style="2" customWidth="1"/>
    <col min="455" max="455" width="13.42578125" style="2" customWidth="1"/>
    <col min="456" max="456" width="17" style="2" customWidth="1"/>
    <col min="457" max="457" width="13.42578125" style="2" customWidth="1"/>
    <col min="458" max="458" width="17" style="2" customWidth="1"/>
    <col min="459" max="459" width="13.42578125" style="2" customWidth="1"/>
    <col min="460" max="460" width="17" style="2" customWidth="1"/>
    <col min="461" max="461" width="13.42578125" style="2" customWidth="1"/>
    <col min="462" max="462" width="17" style="2" customWidth="1"/>
    <col min="463" max="463" width="13.42578125" style="2" customWidth="1"/>
    <col min="464" max="464" width="17" style="2" customWidth="1"/>
    <col min="465" max="465" width="13.42578125" style="2" customWidth="1"/>
    <col min="466" max="466" width="17" style="2" customWidth="1"/>
    <col min="467" max="467" width="13.42578125" style="2" customWidth="1"/>
    <col min="468" max="468" width="17" style="2" customWidth="1"/>
    <col min="469" max="469" width="13.42578125" style="2" customWidth="1"/>
    <col min="470" max="470" width="17" style="2" customWidth="1"/>
    <col min="471" max="471" width="13.42578125" style="2" customWidth="1"/>
    <col min="472" max="472" width="17" style="2" customWidth="1"/>
    <col min="473" max="473" width="13.42578125" style="2" customWidth="1"/>
    <col min="474" max="474" width="17" style="2" customWidth="1"/>
    <col min="475" max="475" width="13.42578125" style="2" customWidth="1"/>
    <col min="476" max="476" width="17" style="2" customWidth="1"/>
    <col min="477" max="477" width="13.42578125" style="2" customWidth="1"/>
    <col min="478" max="478" width="17" style="2" customWidth="1"/>
    <col min="479" max="479" width="13.42578125" style="2" customWidth="1"/>
    <col min="480" max="480" width="17" style="2" customWidth="1"/>
    <col min="481" max="481" width="13.42578125" style="2" customWidth="1"/>
    <col min="482" max="482" width="17" style="2" customWidth="1"/>
    <col min="483" max="483" width="13.42578125" style="2" customWidth="1"/>
    <col min="484" max="484" width="17" style="2" customWidth="1"/>
    <col min="485" max="485" width="13.42578125" style="2" customWidth="1"/>
    <col min="486" max="486" width="17" style="2" customWidth="1"/>
    <col min="487" max="487" width="13.42578125" style="2" customWidth="1"/>
    <col min="488" max="488" width="17" style="2" customWidth="1"/>
    <col min="489" max="489" width="13.42578125" style="2" customWidth="1"/>
    <col min="490" max="490" width="17" style="2" customWidth="1"/>
    <col min="491" max="491" width="13.42578125" style="2" customWidth="1"/>
    <col min="492" max="492" width="17" style="2" customWidth="1"/>
    <col min="493" max="493" width="13.42578125" style="2" customWidth="1"/>
    <col min="494" max="494" width="17" style="2" customWidth="1"/>
    <col min="495" max="495" width="13.42578125" style="2" customWidth="1"/>
    <col min="496" max="496" width="17" style="2" customWidth="1"/>
    <col min="497" max="497" width="13.42578125" style="2" customWidth="1"/>
    <col min="498" max="498" width="17" style="2" customWidth="1"/>
    <col min="499" max="499" width="13.42578125" style="2" customWidth="1"/>
    <col min="500" max="500" width="17" style="2" customWidth="1"/>
    <col min="501" max="501" width="13.42578125" style="2" customWidth="1"/>
    <col min="502" max="502" width="17" style="2" customWidth="1"/>
    <col min="503" max="503" width="13.42578125" style="2" customWidth="1"/>
    <col min="504" max="504" width="17" style="2" customWidth="1"/>
    <col min="505" max="505" width="13.42578125" style="2" customWidth="1"/>
    <col min="506" max="506" width="17" style="2" customWidth="1"/>
    <col min="507" max="507" width="13.42578125" style="2" customWidth="1"/>
    <col min="508" max="508" width="17" style="2" customWidth="1"/>
    <col min="509" max="509" width="13.42578125" style="2" customWidth="1"/>
    <col min="510" max="510" width="17" style="2" customWidth="1"/>
    <col min="511" max="511" width="13.42578125" style="2" customWidth="1"/>
    <col min="512" max="512" width="17" style="2" customWidth="1"/>
    <col min="513" max="513" width="13.42578125" style="2" customWidth="1"/>
    <col min="514" max="514" width="17" style="2" customWidth="1"/>
    <col min="515" max="515" width="13.42578125" style="2" customWidth="1"/>
    <col min="516" max="516" width="17" style="2" customWidth="1"/>
    <col min="517" max="517" width="13.42578125" style="2" customWidth="1"/>
    <col min="518" max="518" width="17" style="2" customWidth="1"/>
    <col min="519" max="519" width="13.42578125" style="2" customWidth="1"/>
    <col min="520" max="520" width="17" style="2" customWidth="1"/>
    <col min="521" max="521" width="13.42578125" style="2" customWidth="1"/>
    <col min="522" max="522" width="17" style="2" customWidth="1"/>
    <col min="523" max="523" width="13.42578125" style="2" customWidth="1"/>
    <col min="524" max="524" width="17" style="2" customWidth="1"/>
    <col min="525" max="525" width="13.42578125" style="2" customWidth="1"/>
    <col min="526" max="526" width="17" style="2" customWidth="1"/>
    <col min="527" max="527" width="13.42578125" style="2" customWidth="1"/>
    <col min="528" max="528" width="17" style="2" customWidth="1"/>
    <col min="529" max="529" width="13.42578125" style="2" customWidth="1"/>
    <col min="530" max="530" width="17" style="2" customWidth="1"/>
    <col min="531" max="531" width="13.42578125" style="2" customWidth="1"/>
    <col min="532" max="532" width="17" style="2" customWidth="1"/>
    <col min="533" max="533" width="13.42578125" style="2" customWidth="1"/>
    <col min="534" max="534" width="17" style="2" customWidth="1"/>
    <col min="535" max="535" width="13.42578125" style="2" customWidth="1"/>
    <col min="536" max="536" width="17" style="2" customWidth="1"/>
    <col min="537" max="537" width="13.42578125" style="2" customWidth="1"/>
    <col min="538" max="538" width="17" style="2" customWidth="1"/>
    <col min="539" max="539" width="13.42578125" style="2" customWidth="1"/>
    <col min="540" max="540" width="17" style="2" customWidth="1"/>
    <col min="541" max="541" width="13.42578125" style="2" customWidth="1"/>
    <col min="542" max="542" width="17" style="2" customWidth="1"/>
    <col min="543" max="543" width="13.42578125" style="2" customWidth="1"/>
    <col min="544" max="544" width="17" style="2" customWidth="1"/>
    <col min="545" max="545" width="13.42578125" style="2" customWidth="1"/>
    <col min="546" max="546" width="17" style="2" customWidth="1"/>
    <col min="547" max="547" width="13.42578125" style="2" customWidth="1"/>
    <col min="548" max="548" width="17" style="2" customWidth="1"/>
    <col min="549" max="549" width="13.42578125" style="2" customWidth="1"/>
    <col min="550" max="550" width="17" style="2" customWidth="1"/>
    <col min="551" max="551" width="13.42578125" style="2" customWidth="1"/>
    <col min="552" max="552" width="17" style="2" customWidth="1"/>
    <col min="553" max="553" width="13.42578125" style="2" customWidth="1"/>
    <col min="554" max="554" width="17" style="2" customWidth="1"/>
    <col min="555" max="555" width="13.42578125" style="2" customWidth="1"/>
    <col min="556" max="556" width="17" style="2" customWidth="1"/>
    <col min="557" max="557" width="13.42578125" style="2" customWidth="1"/>
    <col min="558" max="558" width="17" style="2" customWidth="1"/>
    <col min="559" max="559" width="13.42578125" style="2" customWidth="1"/>
    <col min="560" max="560" width="17" style="2" customWidth="1"/>
    <col min="561" max="561" width="13.42578125" style="2" customWidth="1"/>
    <col min="562" max="562" width="17" style="2" customWidth="1"/>
    <col min="563" max="563" width="13.42578125" style="2" customWidth="1"/>
    <col min="564" max="564" width="17" style="2" customWidth="1"/>
    <col min="565" max="565" width="13.42578125" style="2" customWidth="1"/>
    <col min="566" max="566" width="17" style="2" customWidth="1"/>
    <col min="567" max="567" width="13.42578125" style="2" customWidth="1"/>
    <col min="568" max="568" width="17" style="2" customWidth="1"/>
    <col min="569" max="569" width="13.42578125" style="2" customWidth="1"/>
    <col min="570" max="570" width="17" style="2" customWidth="1"/>
    <col min="571" max="571" width="13.42578125" style="2" customWidth="1"/>
    <col min="572" max="572" width="17" style="2" customWidth="1"/>
    <col min="573" max="573" width="13.42578125" style="2" customWidth="1"/>
    <col min="574" max="574" width="17" style="2" customWidth="1"/>
    <col min="575" max="576" width="13.42578125" style="2" customWidth="1"/>
    <col min="577" max="577" width="17" style="2" customWidth="1"/>
    <col min="578" max="578" width="13.42578125" style="2" customWidth="1"/>
    <col min="579" max="579" width="17" style="2" customWidth="1"/>
    <col min="580" max="580" width="13.42578125" style="2" customWidth="1"/>
    <col min="581" max="581" width="17" style="2" customWidth="1"/>
    <col min="582" max="582" width="13.42578125" style="2" customWidth="1"/>
    <col min="583" max="583" width="17" style="2" customWidth="1"/>
    <col min="584" max="584" width="13.42578125" style="2" customWidth="1"/>
    <col min="585" max="585" width="17" style="2" customWidth="1"/>
    <col min="586" max="586" width="13.42578125" style="2" customWidth="1"/>
    <col min="587" max="587" width="17" style="2" customWidth="1"/>
    <col min="588" max="588" width="13.42578125" style="2" customWidth="1"/>
    <col min="589" max="589" width="17" style="2" customWidth="1"/>
    <col min="590" max="590" width="13.42578125" style="2" customWidth="1"/>
    <col min="591" max="591" width="17" style="2" customWidth="1"/>
    <col min="592" max="592" width="13.42578125" style="2" customWidth="1"/>
    <col min="593" max="593" width="17" style="2" customWidth="1"/>
    <col min="594" max="594" width="13.42578125" style="2" customWidth="1"/>
    <col min="595" max="595" width="17" style="2" customWidth="1"/>
    <col min="596" max="596" width="13.42578125" style="2" customWidth="1"/>
    <col min="597" max="597" width="17" style="2" customWidth="1"/>
    <col min="598" max="598" width="13.42578125" style="2" customWidth="1"/>
    <col min="599" max="599" width="17" style="2" customWidth="1"/>
    <col min="600" max="600" width="13.42578125" style="2" customWidth="1"/>
    <col min="601" max="601" width="17" style="2" customWidth="1"/>
    <col min="602" max="602" width="13.42578125" style="2" customWidth="1"/>
    <col min="603" max="603" width="17" style="2" customWidth="1"/>
    <col min="604" max="604" width="13.42578125" style="2" customWidth="1"/>
    <col min="605" max="605" width="17" style="2" customWidth="1"/>
    <col min="606" max="606" width="13.42578125" style="2" customWidth="1"/>
    <col min="607" max="607" width="17" style="2" customWidth="1"/>
    <col min="608" max="608" width="13.42578125" style="2" customWidth="1"/>
    <col min="609" max="609" width="17" style="2" customWidth="1"/>
    <col min="610" max="610" width="13.42578125" style="2" customWidth="1"/>
    <col min="611" max="611" width="17" style="2" customWidth="1"/>
    <col min="612" max="612" width="13.42578125" style="2" customWidth="1"/>
    <col min="613" max="613" width="17" style="2" customWidth="1"/>
    <col min="614" max="614" width="13.42578125" style="2" customWidth="1"/>
    <col min="615" max="615" width="17" style="2" customWidth="1"/>
    <col min="616" max="616" width="13.42578125" style="2" customWidth="1"/>
    <col min="617" max="617" width="17" style="2" customWidth="1"/>
    <col min="618" max="618" width="13.42578125" style="2" customWidth="1"/>
    <col min="619" max="619" width="17" style="2" customWidth="1"/>
    <col min="620" max="620" width="13.42578125" style="2" customWidth="1"/>
    <col min="621" max="621" width="17" style="2" customWidth="1"/>
    <col min="622" max="622" width="13.42578125" style="2" customWidth="1"/>
    <col min="623" max="623" width="17" style="2" customWidth="1"/>
    <col min="624" max="624" width="13.42578125" style="2" customWidth="1"/>
    <col min="625" max="625" width="17" style="2" customWidth="1"/>
    <col min="626" max="626" width="13.42578125" style="2" customWidth="1"/>
    <col min="627" max="627" width="17" style="2" bestFit="1" customWidth="1"/>
    <col min="628" max="628" width="13.42578125" style="2" bestFit="1" customWidth="1"/>
    <col min="629" max="629" width="17" style="2" bestFit="1" customWidth="1"/>
    <col min="630" max="630" width="13.42578125" style="2" bestFit="1" customWidth="1"/>
    <col min="631" max="631" width="17" style="2" bestFit="1" customWidth="1"/>
    <col min="632" max="632" width="13.42578125" style="2" bestFit="1" customWidth="1"/>
    <col min="633" max="633" width="17" style="2" bestFit="1" customWidth="1"/>
    <col min="634" max="634" width="13.42578125" style="2" bestFit="1" customWidth="1"/>
    <col min="635" max="635" width="17" style="2" bestFit="1" customWidth="1"/>
    <col min="636" max="636" width="13.42578125" style="2" bestFit="1" customWidth="1"/>
    <col min="637" max="637" width="17" style="2" bestFit="1" customWidth="1"/>
    <col min="638" max="638" width="13.42578125" style="2" bestFit="1" customWidth="1"/>
    <col min="639" max="639" width="17" style="2" bestFit="1" customWidth="1"/>
    <col min="640" max="640" width="13.42578125" style="2" bestFit="1" customWidth="1"/>
    <col min="641" max="641" width="17" style="2" bestFit="1" customWidth="1"/>
    <col min="642" max="642" width="13.42578125" style="2" bestFit="1" customWidth="1"/>
    <col min="643" max="643" width="17" style="2" bestFit="1" customWidth="1"/>
    <col min="644" max="644" width="13.42578125" style="2" bestFit="1" customWidth="1"/>
    <col min="645" max="645" width="17" style="2" bestFit="1" customWidth="1"/>
    <col min="646" max="646" width="13.42578125" style="2" bestFit="1" customWidth="1"/>
    <col min="647" max="647" width="17" style="2" bestFit="1" customWidth="1"/>
    <col min="648" max="648" width="13.42578125" style="2" bestFit="1" customWidth="1"/>
    <col min="649" max="649" width="17" style="2" bestFit="1" customWidth="1"/>
    <col min="650" max="650" width="13.42578125" style="2" bestFit="1" customWidth="1"/>
    <col min="651" max="651" width="17" style="2" bestFit="1" customWidth="1"/>
    <col min="652" max="652" width="13.42578125" style="2" bestFit="1" customWidth="1"/>
    <col min="653" max="653" width="17" style="2" bestFit="1" customWidth="1"/>
    <col min="654" max="654" width="13.42578125" style="2" bestFit="1" customWidth="1"/>
    <col min="655" max="655" width="17" style="2" bestFit="1" customWidth="1"/>
    <col min="656" max="656" width="13.42578125" style="2" bestFit="1" customWidth="1"/>
    <col min="657" max="657" width="17" style="2" bestFit="1" customWidth="1"/>
    <col min="658" max="658" width="13.42578125" style="2" bestFit="1" customWidth="1"/>
    <col min="659" max="659" width="17" style="2" bestFit="1" customWidth="1"/>
    <col min="660" max="660" width="13.42578125" style="2" bestFit="1" customWidth="1"/>
    <col min="661" max="661" width="17" style="2" bestFit="1" customWidth="1"/>
    <col min="662" max="662" width="13.42578125" style="2" bestFit="1" customWidth="1"/>
    <col min="663" max="663" width="17" style="2" bestFit="1" customWidth="1"/>
    <col min="664" max="664" width="13.42578125" style="2" bestFit="1" customWidth="1"/>
    <col min="665" max="665" width="17" style="2" bestFit="1" customWidth="1"/>
    <col min="666" max="666" width="13.42578125" style="2" bestFit="1" customWidth="1"/>
    <col min="667" max="667" width="17" style="2" bestFit="1" customWidth="1"/>
    <col min="668" max="668" width="13.42578125" style="2" bestFit="1" customWidth="1"/>
    <col min="669" max="669" width="17" style="2" bestFit="1" customWidth="1"/>
    <col min="670" max="670" width="13.42578125" style="2" bestFit="1" customWidth="1"/>
    <col min="671" max="671" width="17" style="2" bestFit="1" customWidth="1"/>
    <col min="672" max="672" width="13.42578125" style="2" bestFit="1" customWidth="1"/>
    <col min="673" max="673" width="17" style="2" bestFit="1" customWidth="1"/>
    <col min="674" max="674" width="13.42578125" style="2" bestFit="1" customWidth="1"/>
    <col min="675" max="675" width="17" style="2" bestFit="1" customWidth="1"/>
    <col min="676" max="676" width="13.42578125" style="2" bestFit="1" customWidth="1"/>
    <col min="677" max="677" width="17" style="2" bestFit="1" customWidth="1"/>
    <col min="678" max="678" width="13.42578125" style="2" bestFit="1" customWidth="1"/>
    <col min="679" max="679" width="17" style="2" bestFit="1" customWidth="1"/>
    <col min="680" max="680" width="13.42578125" style="2" bestFit="1" customWidth="1"/>
    <col min="681" max="681" width="17" style="2" bestFit="1" customWidth="1"/>
    <col min="682" max="682" width="13.42578125" style="2" bestFit="1" customWidth="1"/>
    <col min="683" max="683" width="17" style="2" bestFit="1" customWidth="1"/>
    <col min="684" max="684" width="13.42578125" style="2" bestFit="1" customWidth="1"/>
    <col min="685" max="685" width="17" style="2" bestFit="1" customWidth="1"/>
    <col min="686" max="686" width="13.42578125" style="2" bestFit="1" customWidth="1"/>
    <col min="687" max="687" width="17" style="2" bestFit="1" customWidth="1"/>
    <col min="688" max="688" width="13.42578125" style="2" bestFit="1" customWidth="1"/>
    <col min="689" max="689" width="17" style="2" bestFit="1" customWidth="1"/>
    <col min="690" max="690" width="13.42578125" style="2" bestFit="1" customWidth="1"/>
    <col min="691" max="691" width="17" style="2" bestFit="1" customWidth="1"/>
    <col min="692" max="692" width="13.42578125" style="2" bestFit="1" customWidth="1"/>
    <col min="693" max="693" width="17" style="2" bestFit="1" customWidth="1"/>
    <col min="694" max="694" width="13.42578125" style="2" bestFit="1" customWidth="1"/>
    <col min="695" max="695" width="17" style="2" bestFit="1" customWidth="1"/>
    <col min="696" max="696" width="13.42578125" style="2" bestFit="1" customWidth="1"/>
    <col min="697" max="697" width="17" style="2" bestFit="1" customWidth="1"/>
    <col min="698" max="698" width="13.42578125" style="2" bestFit="1" customWidth="1"/>
    <col min="699" max="699" width="17" style="2" bestFit="1" customWidth="1"/>
    <col min="700" max="700" width="13.42578125" style="2" bestFit="1" customWidth="1"/>
    <col min="701" max="701" width="17" style="2" bestFit="1" customWidth="1"/>
    <col min="702" max="702" width="13.42578125" style="2" bestFit="1" customWidth="1"/>
    <col min="703" max="703" width="17" style="2" bestFit="1" customWidth="1"/>
    <col min="704" max="704" width="13.42578125" style="2" bestFit="1" customWidth="1"/>
    <col min="705" max="705" width="17" style="2" bestFit="1" customWidth="1"/>
    <col min="706" max="706" width="13.42578125" style="2" bestFit="1" customWidth="1"/>
    <col min="707" max="707" width="17" style="2" bestFit="1" customWidth="1"/>
    <col min="708" max="708" width="13.42578125" style="2" bestFit="1" customWidth="1"/>
    <col min="709" max="709" width="17" style="2" bestFit="1" customWidth="1"/>
    <col min="710" max="710" width="13.42578125" style="2" bestFit="1" customWidth="1"/>
    <col min="711" max="711" width="17" style="2" bestFit="1" customWidth="1"/>
    <col min="712" max="712" width="13.42578125" style="2" bestFit="1" customWidth="1"/>
    <col min="713" max="713" width="17" style="2" bestFit="1" customWidth="1"/>
    <col min="714" max="714" width="13.42578125" style="2" bestFit="1" customWidth="1"/>
    <col min="715" max="715" width="17" style="2" bestFit="1" customWidth="1"/>
    <col min="716" max="716" width="13.42578125" style="2" bestFit="1" customWidth="1"/>
    <col min="717" max="717" width="17" style="2" bestFit="1" customWidth="1"/>
    <col min="718" max="718" width="13.42578125" style="2" bestFit="1" customWidth="1"/>
    <col min="719" max="719" width="17" style="2" bestFit="1" customWidth="1"/>
    <col min="720" max="720" width="13.42578125" style="2" bestFit="1" customWidth="1"/>
    <col min="721" max="721" width="17" style="2" bestFit="1" customWidth="1"/>
    <col min="722" max="722" width="13.42578125" style="2" bestFit="1" customWidth="1"/>
    <col min="723" max="723" width="17" style="2" bestFit="1" customWidth="1"/>
    <col min="724" max="724" width="13.42578125" style="2" bestFit="1" customWidth="1"/>
    <col min="725" max="725" width="17" style="2" bestFit="1" customWidth="1"/>
    <col min="726" max="726" width="13.42578125" style="2" bestFit="1" customWidth="1"/>
    <col min="727" max="727" width="17" style="2" bestFit="1" customWidth="1"/>
    <col min="728" max="728" width="13.42578125" style="2" bestFit="1" customWidth="1"/>
    <col min="729" max="729" width="17" style="2" bestFit="1" customWidth="1"/>
    <col min="730" max="730" width="13.42578125" style="2" bestFit="1" customWidth="1"/>
    <col min="731" max="731" width="17" style="2" bestFit="1" customWidth="1"/>
    <col min="732" max="732" width="13.42578125" style="2" bestFit="1" customWidth="1"/>
    <col min="733" max="733" width="17" style="2" bestFit="1" customWidth="1"/>
    <col min="734" max="734" width="13.42578125" style="2" bestFit="1" customWidth="1"/>
    <col min="735" max="735" width="17" style="2" bestFit="1" customWidth="1"/>
    <col min="736" max="736" width="13.42578125" style="2" bestFit="1" customWidth="1"/>
    <col min="737" max="737" width="17" style="2" bestFit="1" customWidth="1"/>
    <col min="738" max="738" width="13.42578125" style="2" bestFit="1" customWidth="1"/>
    <col min="739" max="739" width="17" style="2" bestFit="1" customWidth="1"/>
    <col min="740" max="740" width="13.42578125" style="2" bestFit="1" customWidth="1"/>
    <col min="741" max="741" width="17" style="2" bestFit="1" customWidth="1"/>
    <col min="742" max="742" width="13.42578125" style="2" bestFit="1" customWidth="1"/>
    <col min="743" max="743" width="17" style="2" bestFit="1" customWidth="1"/>
    <col min="744" max="744" width="13.42578125" style="2" bestFit="1" customWidth="1"/>
    <col min="745" max="745" width="17" style="2" bestFit="1" customWidth="1"/>
    <col min="746" max="746" width="13.42578125" style="2" bestFit="1" customWidth="1"/>
    <col min="747" max="747" width="17" style="2" bestFit="1" customWidth="1"/>
    <col min="748" max="748" width="13.42578125" style="2" bestFit="1" customWidth="1"/>
    <col min="749" max="749" width="17" style="2" bestFit="1" customWidth="1"/>
    <col min="750" max="750" width="13.42578125" style="2" bestFit="1" customWidth="1"/>
    <col min="751" max="751" width="17" style="2" bestFit="1" customWidth="1"/>
    <col min="752" max="752" width="13.42578125" style="2" bestFit="1" customWidth="1"/>
    <col min="753" max="753" width="17" style="2" bestFit="1" customWidth="1"/>
    <col min="754" max="754" width="13.42578125" style="2" bestFit="1" customWidth="1"/>
    <col min="755" max="755" width="17" style="2" bestFit="1" customWidth="1"/>
    <col min="756" max="756" width="13.42578125" style="2" bestFit="1" customWidth="1"/>
    <col min="757" max="757" width="17" style="2" bestFit="1" customWidth="1"/>
    <col min="758" max="758" width="13.42578125" style="2" bestFit="1" customWidth="1"/>
    <col min="759" max="759" width="17" style="2" bestFit="1" customWidth="1"/>
    <col min="760" max="760" width="13.42578125" style="2" bestFit="1" customWidth="1"/>
    <col min="761" max="761" width="17" style="2" bestFit="1" customWidth="1"/>
    <col min="762" max="762" width="13.42578125" style="2" bestFit="1" customWidth="1"/>
    <col min="763" max="763" width="17" style="2" bestFit="1" customWidth="1"/>
    <col min="764" max="764" width="13.42578125" style="2" bestFit="1" customWidth="1"/>
    <col min="765" max="765" width="17" style="2" bestFit="1" customWidth="1"/>
    <col min="766" max="766" width="13.42578125" style="2" bestFit="1" customWidth="1"/>
    <col min="767" max="767" width="17" style="2" bestFit="1" customWidth="1"/>
    <col min="768" max="768" width="13.42578125" style="2" bestFit="1" customWidth="1"/>
    <col min="769" max="769" width="17" style="2" bestFit="1" customWidth="1"/>
    <col min="770" max="770" width="13.42578125" style="2" bestFit="1" customWidth="1"/>
    <col min="771" max="771" width="17" style="2" bestFit="1" customWidth="1"/>
    <col min="772" max="772" width="13.42578125" style="2" bestFit="1" customWidth="1"/>
    <col min="773" max="773" width="17" style="2" bestFit="1" customWidth="1"/>
    <col min="774" max="774" width="13.42578125" style="2" bestFit="1" customWidth="1"/>
    <col min="775" max="775" width="17" style="2" bestFit="1" customWidth="1"/>
    <col min="776" max="776" width="13.42578125" style="2" bestFit="1" customWidth="1"/>
    <col min="777" max="777" width="17" style="2" bestFit="1" customWidth="1"/>
    <col min="778" max="778" width="13.42578125" style="2" bestFit="1" customWidth="1"/>
    <col min="779" max="779" width="17" style="2" bestFit="1" customWidth="1"/>
    <col min="780" max="780" width="13.42578125" style="2" bestFit="1" customWidth="1"/>
    <col min="781" max="781" width="17" style="2" bestFit="1" customWidth="1"/>
    <col min="782" max="782" width="13.42578125" style="2" bestFit="1" customWidth="1"/>
    <col min="783" max="783" width="17" style="2" bestFit="1" customWidth="1"/>
    <col min="784" max="784" width="13.42578125" style="2" bestFit="1" customWidth="1"/>
    <col min="785" max="785" width="17" style="2" bestFit="1" customWidth="1"/>
    <col min="786" max="786" width="13.42578125" style="2" bestFit="1" customWidth="1"/>
    <col min="787" max="787" width="17" style="2" bestFit="1" customWidth="1"/>
    <col min="788" max="788" width="13.42578125" style="2" bestFit="1" customWidth="1"/>
    <col min="789" max="789" width="17" style="2" bestFit="1" customWidth="1"/>
    <col min="790" max="790" width="13.42578125" style="2" bestFit="1" customWidth="1"/>
    <col min="791" max="791" width="17" style="2" bestFit="1" customWidth="1"/>
    <col min="792" max="792" width="13.42578125" style="2" bestFit="1" customWidth="1"/>
    <col min="793" max="793" width="17" style="2" bestFit="1" customWidth="1"/>
    <col min="794" max="794" width="13.42578125" style="2" bestFit="1" customWidth="1"/>
    <col min="795" max="795" width="17" style="2" bestFit="1" customWidth="1"/>
    <col min="796" max="796" width="13.42578125" style="2" bestFit="1" customWidth="1"/>
    <col min="797" max="797" width="17" style="2" bestFit="1" customWidth="1"/>
    <col min="798" max="798" width="13.42578125" style="2" bestFit="1" customWidth="1"/>
    <col min="799" max="799" width="17" style="2" bestFit="1" customWidth="1"/>
    <col min="800" max="800" width="13.42578125" style="2" bestFit="1" customWidth="1"/>
    <col min="801" max="801" width="17" style="2" bestFit="1" customWidth="1"/>
    <col min="802" max="802" width="13.42578125" style="2" bestFit="1" customWidth="1"/>
    <col min="803" max="803" width="17" style="2" bestFit="1" customWidth="1"/>
    <col min="804" max="804" width="13.42578125" style="2" bestFit="1" customWidth="1"/>
    <col min="805" max="805" width="17" style="2" bestFit="1" customWidth="1"/>
    <col min="806" max="806" width="13.42578125" style="2" bestFit="1" customWidth="1"/>
    <col min="807" max="807" width="17" style="2" bestFit="1" customWidth="1"/>
    <col min="808" max="808" width="13.42578125" style="2" bestFit="1" customWidth="1"/>
    <col min="809" max="809" width="17" style="2" bestFit="1" customWidth="1"/>
    <col min="810" max="810" width="13.42578125" style="2" bestFit="1" customWidth="1"/>
    <col min="811" max="811" width="17" style="2" bestFit="1" customWidth="1"/>
    <col min="812" max="812" width="13.42578125" style="2" bestFit="1" customWidth="1"/>
    <col min="813" max="813" width="17" style="2" bestFit="1" customWidth="1"/>
    <col min="814" max="814" width="13.42578125" style="2" bestFit="1" customWidth="1"/>
    <col min="815" max="815" width="17" style="2" bestFit="1" customWidth="1"/>
    <col min="816" max="816" width="13.42578125" style="2" bestFit="1" customWidth="1"/>
    <col min="817" max="817" width="17" style="2" bestFit="1" customWidth="1"/>
    <col min="818" max="818" width="13.42578125" style="2" bestFit="1" customWidth="1"/>
    <col min="819" max="819" width="17" style="2" bestFit="1" customWidth="1"/>
    <col min="820" max="820" width="13.42578125" style="2" bestFit="1" customWidth="1"/>
    <col min="821" max="821" width="17" style="2" bestFit="1" customWidth="1"/>
    <col min="822" max="822" width="13.42578125" style="2" bestFit="1" customWidth="1"/>
    <col min="823" max="823" width="17" style="2" bestFit="1" customWidth="1"/>
    <col min="824" max="824" width="13.42578125" style="2" bestFit="1" customWidth="1"/>
    <col min="825" max="825" width="17" style="2" bestFit="1" customWidth="1"/>
    <col min="826" max="826" width="13.42578125" style="2" bestFit="1" customWidth="1"/>
    <col min="827" max="827" width="17" style="2" bestFit="1" customWidth="1"/>
    <col min="828" max="828" width="13.42578125" style="2" bestFit="1" customWidth="1"/>
    <col min="829" max="829" width="17" style="2" bestFit="1" customWidth="1"/>
    <col min="830" max="830" width="13.42578125" style="2" bestFit="1" customWidth="1"/>
    <col min="831" max="831" width="17" style="2" bestFit="1" customWidth="1"/>
    <col min="832" max="832" width="13.42578125" style="2" bestFit="1" customWidth="1"/>
    <col min="833" max="833" width="17" style="2" bestFit="1" customWidth="1"/>
    <col min="834" max="834" width="13.42578125" style="2" bestFit="1" customWidth="1"/>
    <col min="835" max="835" width="17" style="2" bestFit="1" customWidth="1"/>
    <col min="836" max="836" width="13.42578125" style="2" bestFit="1" customWidth="1"/>
    <col min="837" max="837" width="17" style="2" bestFit="1" customWidth="1"/>
    <col min="838" max="838" width="13.42578125" style="2" bestFit="1" customWidth="1"/>
    <col min="839" max="839" width="17" style="2" bestFit="1" customWidth="1"/>
    <col min="840" max="840" width="13.42578125" style="2" bestFit="1" customWidth="1"/>
    <col min="841" max="841" width="17" style="2" bestFit="1" customWidth="1"/>
    <col min="842" max="843" width="13.42578125" style="2" bestFit="1" customWidth="1"/>
    <col min="844" max="844" width="17" style="2" bestFit="1" customWidth="1"/>
    <col min="845" max="845" width="13.42578125" style="2" bestFit="1" customWidth="1"/>
    <col min="846" max="846" width="17" style="2" bestFit="1" customWidth="1"/>
    <col min="847" max="847" width="13.42578125" style="2" bestFit="1" customWidth="1"/>
    <col min="848" max="848" width="17" style="2" bestFit="1" customWidth="1"/>
    <col min="849" max="849" width="13.42578125" style="2" bestFit="1" customWidth="1"/>
    <col min="850" max="850" width="17" style="2" bestFit="1" customWidth="1"/>
    <col min="851" max="851" width="13.42578125" style="2" bestFit="1" customWidth="1"/>
    <col min="852" max="852" width="17" style="2" bestFit="1" customWidth="1"/>
    <col min="853" max="854" width="13.42578125" style="2" bestFit="1" customWidth="1"/>
    <col min="855" max="855" width="17" style="2" bestFit="1" customWidth="1"/>
    <col min="856" max="856" width="13.42578125" style="2" bestFit="1" customWidth="1"/>
    <col min="857" max="857" width="17" style="2" bestFit="1" customWidth="1"/>
    <col min="858" max="858" width="13.42578125" style="2" bestFit="1" customWidth="1"/>
    <col min="859" max="859" width="17" style="2" bestFit="1" customWidth="1"/>
    <col min="860" max="860" width="13.42578125" style="2" bestFit="1" customWidth="1"/>
    <col min="861" max="861" width="17" style="2" bestFit="1" customWidth="1"/>
    <col min="862" max="862" width="13.42578125" style="2" bestFit="1" customWidth="1"/>
    <col min="863" max="863" width="17" style="2" bestFit="1" customWidth="1"/>
    <col min="864" max="864" width="13.42578125" style="2" bestFit="1" customWidth="1"/>
    <col min="865" max="865" width="17" style="2" bestFit="1" customWidth="1"/>
    <col min="866" max="866" width="13.42578125" style="2" bestFit="1" customWidth="1"/>
    <col min="867" max="867" width="17" style="2" bestFit="1" customWidth="1"/>
    <col min="868" max="868" width="13.42578125" style="2" bestFit="1" customWidth="1"/>
    <col min="869" max="869" width="17" style="2" bestFit="1" customWidth="1"/>
    <col min="870" max="870" width="13.42578125" style="2" bestFit="1" customWidth="1"/>
    <col min="871" max="871" width="17" style="2" bestFit="1" customWidth="1"/>
    <col min="872" max="872" width="13.42578125" style="2" bestFit="1" customWidth="1"/>
    <col min="873" max="873" width="17" style="2" bestFit="1" customWidth="1"/>
    <col min="874" max="875" width="13.42578125" style="2" bestFit="1" customWidth="1"/>
    <col min="876" max="876" width="17" style="2" bestFit="1" customWidth="1"/>
    <col min="877" max="877" width="13.42578125" style="2" bestFit="1" customWidth="1"/>
    <col min="878" max="878" width="17" style="2" bestFit="1" customWidth="1"/>
    <col min="879" max="879" width="13.42578125" style="2" bestFit="1" customWidth="1"/>
    <col min="880" max="880" width="17" style="2" bestFit="1" customWidth="1"/>
    <col min="881" max="881" width="13.42578125" style="2" bestFit="1" customWidth="1"/>
    <col min="882" max="882" width="17" style="2" bestFit="1" customWidth="1"/>
    <col min="883" max="883" width="13.42578125" style="2" bestFit="1" customWidth="1"/>
    <col min="884" max="884" width="17" style="2" bestFit="1" customWidth="1"/>
    <col min="885" max="885" width="13.42578125" style="2" bestFit="1" customWidth="1"/>
    <col min="886" max="886" width="17" style="2" bestFit="1" customWidth="1"/>
    <col min="887" max="887" width="13.42578125" style="2" bestFit="1" customWidth="1"/>
    <col min="888" max="888" width="17" style="2" bestFit="1" customWidth="1"/>
    <col min="889" max="889" width="13.42578125" style="2" bestFit="1" customWidth="1"/>
    <col min="890" max="890" width="17" style="2" bestFit="1" customWidth="1"/>
    <col min="891" max="891" width="13.42578125" style="2" bestFit="1" customWidth="1"/>
    <col min="892" max="892" width="17" style="2" bestFit="1" customWidth="1"/>
    <col min="893" max="893" width="13.42578125" style="2" bestFit="1" customWidth="1"/>
    <col min="894" max="894" width="17" style="2" bestFit="1" customWidth="1"/>
    <col min="895" max="895" width="13.42578125" style="2" bestFit="1" customWidth="1"/>
    <col min="896" max="896" width="17" style="2" bestFit="1" customWidth="1"/>
    <col min="897" max="897" width="13.42578125" style="2" bestFit="1" customWidth="1"/>
    <col min="898" max="898" width="17" style="2" bestFit="1" customWidth="1"/>
    <col min="899" max="899" width="13.42578125" style="2" bestFit="1" customWidth="1"/>
    <col min="900" max="900" width="17" style="2" bestFit="1" customWidth="1"/>
    <col min="901" max="901" width="13.42578125" style="2" bestFit="1" customWidth="1"/>
    <col min="902" max="902" width="17" style="2" bestFit="1" customWidth="1"/>
    <col min="903" max="903" width="13.42578125" style="2" bestFit="1" customWidth="1"/>
    <col min="904" max="904" width="17" style="2" bestFit="1" customWidth="1"/>
    <col min="905" max="905" width="13.42578125" style="2" bestFit="1" customWidth="1"/>
    <col min="906" max="906" width="17" style="2" bestFit="1" customWidth="1"/>
    <col min="907" max="907" width="13.42578125" style="2" bestFit="1" customWidth="1"/>
    <col min="908" max="908" width="17" style="2" bestFit="1" customWidth="1"/>
    <col min="909" max="909" width="13.42578125" style="2" bestFit="1" customWidth="1"/>
    <col min="910" max="910" width="17" style="2" bestFit="1" customWidth="1"/>
    <col min="911" max="911" width="13.42578125" style="2" bestFit="1" customWidth="1"/>
    <col min="912" max="912" width="17" style="2" bestFit="1" customWidth="1"/>
    <col min="913" max="913" width="13.42578125" style="2" bestFit="1" customWidth="1"/>
    <col min="914" max="914" width="17" style="2" bestFit="1" customWidth="1"/>
    <col min="915" max="915" width="13.42578125" style="2" bestFit="1" customWidth="1"/>
    <col min="916" max="916" width="17" style="2" bestFit="1" customWidth="1"/>
    <col min="917" max="917" width="13.42578125" style="2" bestFit="1" customWidth="1"/>
    <col min="918" max="918" width="17" style="2" bestFit="1" customWidth="1"/>
    <col min="919" max="919" width="13.42578125" style="2" bestFit="1" customWidth="1"/>
    <col min="920" max="920" width="17" style="2" bestFit="1" customWidth="1"/>
    <col min="921" max="921" width="13.42578125" style="2" bestFit="1" customWidth="1"/>
    <col min="922" max="922" width="17" style="2" bestFit="1" customWidth="1"/>
    <col min="923" max="923" width="13.42578125" style="2" bestFit="1" customWidth="1"/>
    <col min="924" max="924" width="17" style="2" bestFit="1" customWidth="1"/>
    <col min="925" max="925" width="13.42578125" style="2" bestFit="1" customWidth="1"/>
    <col min="926" max="926" width="17" style="2" bestFit="1" customWidth="1"/>
    <col min="927" max="927" width="13.42578125" style="2" bestFit="1" customWidth="1"/>
    <col min="928" max="928" width="17" style="2" bestFit="1" customWidth="1"/>
    <col min="929" max="929" width="13.42578125" style="2" bestFit="1" customWidth="1"/>
    <col min="930" max="930" width="17" style="2" bestFit="1" customWidth="1"/>
    <col min="931" max="931" width="13.42578125" style="2" bestFit="1" customWidth="1"/>
    <col min="932" max="932" width="17" style="2" bestFit="1" customWidth="1"/>
    <col min="933" max="933" width="13.42578125" style="2" bestFit="1" customWidth="1"/>
    <col min="934" max="934" width="17" style="2" bestFit="1" customWidth="1"/>
    <col min="935" max="935" width="13.42578125" style="2" bestFit="1" customWidth="1"/>
    <col min="936" max="936" width="17" style="2" bestFit="1" customWidth="1"/>
    <col min="937" max="937" width="13.42578125" style="2" bestFit="1" customWidth="1"/>
    <col min="938" max="938" width="17" style="2" bestFit="1" customWidth="1"/>
    <col min="939" max="939" width="13.42578125" style="2" bestFit="1" customWidth="1"/>
    <col min="940" max="940" width="17" style="2" bestFit="1" customWidth="1"/>
    <col min="941" max="941" width="13.42578125" style="2" bestFit="1" customWidth="1"/>
    <col min="942" max="942" width="17" style="2" bestFit="1" customWidth="1"/>
    <col min="943" max="943" width="13.42578125" style="2" bestFit="1" customWidth="1"/>
    <col min="944" max="944" width="17" style="2" bestFit="1" customWidth="1"/>
    <col min="945" max="945" width="13.42578125" style="2" bestFit="1" customWidth="1"/>
    <col min="946" max="946" width="17" style="2" bestFit="1" customWidth="1"/>
    <col min="947" max="947" width="13.42578125" style="2" bestFit="1" customWidth="1"/>
    <col min="948" max="948" width="17" style="2" bestFit="1" customWidth="1"/>
    <col min="949" max="949" width="13.42578125" style="2" bestFit="1" customWidth="1"/>
    <col min="950" max="950" width="17" style="2" bestFit="1" customWidth="1"/>
    <col min="951" max="951" width="13.42578125" style="2" bestFit="1" customWidth="1"/>
    <col min="952" max="952" width="17" style="2" bestFit="1" customWidth="1"/>
    <col min="953" max="953" width="13.42578125" style="2" bestFit="1" customWidth="1"/>
    <col min="954" max="954" width="17" style="2" bestFit="1" customWidth="1"/>
    <col min="955" max="955" width="13.42578125" style="2" bestFit="1" customWidth="1"/>
    <col min="956" max="956" width="17" style="2" bestFit="1" customWidth="1"/>
    <col min="957" max="957" width="13.42578125" style="2" bestFit="1" customWidth="1"/>
    <col min="958" max="958" width="17" style="2" bestFit="1" customWidth="1"/>
    <col min="959" max="959" width="13.42578125" style="2" bestFit="1" customWidth="1"/>
    <col min="960" max="960" width="17" style="2" bestFit="1" customWidth="1"/>
    <col min="961" max="961" width="13.42578125" style="2" bestFit="1" customWidth="1"/>
    <col min="962" max="962" width="17" style="2" bestFit="1" customWidth="1"/>
    <col min="963" max="963" width="13.42578125" style="2" bestFit="1" customWidth="1"/>
    <col min="964" max="964" width="17" style="2" bestFit="1" customWidth="1"/>
    <col min="965" max="965" width="13.42578125" style="2" bestFit="1" customWidth="1"/>
    <col min="966" max="966" width="17" style="2" bestFit="1" customWidth="1"/>
    <col min="967" max="967" width="13.42578125" style="2" bestFit="1" customWidth="1"/>
    <col min="968" max="968" width="17" style="2" bestFit="1" customWidth="1"/>
    <col min="969" max="969" width="13.42578125" style="2" bestFit="1" customWidth="1"/>
    <col min="970" max="970" width="17" style="2" bestFit="1" customWidth="1"/>
    <col min="971" max="971" width="13.42578125" style="2" bestFit="1" customWidth="1"/>
    <col min="972" max="972" width="17" style="2" bestFit="1" customWidth="1"/>
    <col min="973" max="973" width="13.42578125" style="2" bestFit="1" customWidth="1"/>
    <col min="974" max="974" width="17" style="2" bestFit="1" customWidth="1"/>
    <col min="975" max="975" width="13.42578125" style="2" bestFit="1" customWidth="1"/>
    <col min="976" max="976" width="17" style="2" bestFit="1" customWidth="1"/>
    <col min="977" max="977" width="13.42578125" style="2" bestFit="1" customWidth="1"/>
    <col min="978" max="978" width="17" style="2" bestFit="1" customWidth="1"/>
    <col min="979" max="979" width="13.42578125" style="2" bestFit="1" customWidth="1"/>
    <col min="980" max="980" width="17" style="2" bestFit="1" customWidth="1"/>
    <col min="981" max="981" width="13.42578125" style="2" bestFit="1" customWidth="1"/>
    <col min="982" max="982" width="17" style="2" bestFit="1" customWidth="1"/>
    <col min="983" max="983" width="13.42578125" style="2" bestFit="1" customWidth="1"/>
    <col min="984" max="984" width="17" style="2" bestFit="1" customWidth="1"/>
    <col min="985" max="985" width="13.42578125" style="2" bestFit="1" customWidth="1"/>
    <col min="986" max="986" width="17" style="2" bestFit="1" customWidth="1"/>
    <col min="987" max="987" width="13.42578125" style="2" bestFit="1" customWidth="1"/>
    <col min="988" max="988" width="17" style="2" bestFit="1" customWidth="1"/>
    <col min="989" max="989" width="13.42578125" style="2" bestFit="1" customWidth="1"/>
    <col min="990" max="990" width="17" style="2" bestFit="1" customWidth="1"/>
    <col min="991" max="991" width="13.42578125" style="2" bestFit="1" customWidth="1"/>
    <col min="992" max="992" width="17" style="2" bestFit="1" customWidth="1"/>
    <col min="993" max="993" width="13.42578125" style="2" bestFit="1" customWidth="1"/>
    <col min="994" max="994" width="17" style="2" bestFit="1" customWidth="1"/>
    <col min="995" max="995" width="13.42578125" style="2" bestFit="1" customWidth="1"/>
    <col min="996" max="996" width="17" style="2" bestFit="1" customWidth="1"/>
    <col min="997" max="997" width="13.42578125" style="2" bestFit="1" customWidth="1"/>
    <col min="998" max="998" width="17" style="2" bestFit="1" customWidth="1"/>
    <col min="999" max="999" width="13.42578125" style="2" bestFit="1" customWidth="1"/>
    <col min="1000" max="1000" width="17" style="2" bestFit="1" customWidth="1"/>
    <col min="1001" max="1001" width="13.42578125" style="2" bestFit="1" customWidth="1"/>
    <col min="1002" max="1002" width="17" style="2" bestFit="1" customWidth="1"/>
    <col min="1003" max="1003" width="13.42578125" style="2" bestFit="1" customWidth="1"/>
    <col min="1004" max="1004" width="17" style="2" bestFit="1" customWidth="1"/>
    <col min="1005" max="1005" width="13.42578125" style="2" bestFit="1" customWidth="1"/>
    <col min="1006" max="1006" width="17" style="2" bestFit="1" customWidth="1"/>
    <col min="1007" max="1007" width="13.42578125" style="2" bestFit="1" customWidth="1"/>
    <col min="1008" max="1008" width="17" style="2" bestFit="1" customWidth="1"/>
    <col min="1009" max="1009" width="13.42578125" style="2" bestFit="1" customWidth="1"/>
    <col min="1010" max="1010" width="17" style="2" bestFit="1" customWidth="1"/>
    <col min="1011" max="1011" width="13.42578125" style="2" bestFit="1" customWidth="1"/>
    <col min="1012" max="1012" width="17" style="2" bestFit="1" customWidth="1"/>
    <col min="1013" max="1013" width="13.42578125" style="2" bestFit="1" customWidth="1"/>
    <col min="1014" max="1014" width="17" style="2" bestFit="1" customWidth="1"/>
    <col min="1015" max="1015" width="13.42578125" style="2" bestFit="1" customWidth="1"/>
    <col min="1016" max="1016" width="17" style="2" bestFit="1" customWidth="1"/>
    <col min="1017" max="1017" width="13.42578125" style="2" bestFit="1" customWidth="1"/>
    <col min="1018" max="1018" width="17" style="2" bestFit="1" customWidth="1"/>
    <col min="1019" max="1019" width="13.42578125" style="2" bestFit="1" customWidth="1"/>
    <col min="1020" max="1020" width="17" style="2" bestFit="1" customWidth="1"/>
    <col min="1021" max="1021" width="13.42578125" style="2" bestFit="1" customWidth="1"/>
    <col min="1022" max="1022" width="17" style="2" bestFit="1" customWidth="1"/>
    <col min="1023" max="1023" width="13.42578125" style="2" bestFit="1" customWidth="1"/>
    <col min="1024" max="1024" width="17" style="2" bestFit="1" customWidth="1"/>
    <col min="1025" max="1025" width="13.42578125" style="2" bestFit="1" customWidth="1"/>
    <col min="1026" max="1026" width="17" style="2" bestFit="1" customWidth="1"/>
    <col min="1027" max="1027" width="13.42578125" style="2" bestFit="1" customWidth="1"/>
    <col min="1028" max="1028" width="17" style="2" bestFit="1" customWidth="1"/>
    <col min="1029" max="1029" width="13.42578125" style="2" bestFit="1" customWidth="1"/>
    <col min="1030" max="1030" width="17" style="2" bestFit="1" customWidth="1"/>
    <col min="1031" max="1031" width="13.42578125" style="2" bestFit="1" customWidth="1"/>
    <col min="1032" max="1032" width="17" style="2" bestFit="1" customWidth="1"/>
    <col min="1033" max="1033" width="13.42578125" style="2" bestFit="1" customWidth="1"/>
    <col min="1034" max="1034" width="17" style="2" bestFit="1" customWidth="1"/>
    <col min="1035" max="1035" width="13.42578125" style="2" bestFit="1" customWidth="1"/>
    <col min="1036" max="1036" width="17" style="2" bestFit="1" customWidth="1"/>
    <col min="1037" max="1037" width="13.42578125" style="2" bestFit="1" customWidth="1"/>
    <col min="1038" max="1038" width="17" style="2" bestFit="1" customWidth="1"/>
    <col min="1039" max="1039" width="13.42578125" style="2" bestFit="1" customWidth="1"/>
    <col min="1040" max="1040" width="17" style="2" bestFit="1" customWidth="1"/>
    <col min="1041" max="1041" width="13.42578125" style="2" bestFit="1" customWidth="1"/>
    <col min="1042" max="1042" width="17" style="2" bestFit="1" customWidth="1"/>
    <col min="1043" max="1043" width="13.42578125" style="2" bestFit="1" customWidth="1"/>
    <col min="1044" max="1044" width="17" style="2" bestFit="1" customWidth="1"/>
    <col min="1045" max="1045" width="13.42578125" style="2" bestFit="1" customWidth="1"/>
    <col min="1046" max="1046" width="17" style="2" bestFit="1" customWidth="1"/>
    <col min="1047" max="1047" width="13.42578125" style="2" bestFit="1" customWidth="1"/>
    <col min="1048" max="1048" width="17" style="2" bestFit="1" customWidth="1"/>
    <col min="1049" max="1049" width="13.42578125" style="2" bestFit="1" customWidth="1"/>
    <col min="1050" max="1050" width="17" style="2" bestFit="1" customWidth="1"/>
    <col min="1051" max="1051" width="13.42578125" style="2" bestFit="1" customWidth="1"/>
    <col min="1052" max="1052" width="17" style="2" bestFit="1" customWidth="1"/>
    <col min="1053" max="1053" width="13.42578125" style="2" bestFit="1" customWidth="1"/>
    <col min="1054" max="1054" width="17" style="2" bestFit="1" customWidth="1"/>
    <col min="1055" max="1055" width="13.42578125" style="2" bestFit="1" customWidth="1"/>
    <col min="1056" max="1056" width="17" style="2" bestFit="1" customWidth="1"/>
    <col min="1057" max="1057" width="13.42578125" style="2" bestFit="1" customWidth="1"/>
    <col min="1058" max="1058" width="17" style="2" bestFit="1" customWidth="1"/>
    <col min="1059" max="1059" width="13.42578125" style="2" bestFit="1" customWidth="1"/>
    <col min="1060" max="1060" width="17" style="2" bestFit="1" customWidth="1"/>
    <col min="1061" max="1061" width="13.42578125" style="2" bestFit="1" customWidth="1"/>
    <col min="1062" max="1062" width="17" style="2" bestFit="1" customWidth="1"/>
    <col min="1063" max="1063" width="13.42578125" style="2" bestFit="1" customWidth="1"/>
    <col min="1064" max="1064" width="17" style="2" bestFit="1" customWidth="1"/>
    <col min="1065" max="1065" width="13.42578125" style="2" bestFit="1" customWidth="1"/>
    <col min="1066" max="1066" width="17" style="2" bestFit="1" customWidth="1"/>
    <col min="1067" max="1067" width="13.42578125" style="2" bestFit="1" customWidth="1"/>
    <col min="1068" max="1068" width="17" style="2" bestFit="1" customWidth="1"/>
    <col min="1069" max="1069" width="13.42578125" style="2" bestFit="1" customWidth="1"/>
    <col min="1070" max="1070" width="17" style="2" bestFit="1" customWidth="1"/>
    <col min="1071" max="1071" width="13.42578125" style="2" bestFit="1" customWidth="1"/>
    <col min="1072" max="1072" width="17" style="2" bestFit="1" customWidth="1"/>
    <col min="1073" max="1073" width="13.42578125" style="2" bestFit="1" customWidth="1"/>
    <col min="1074" max="1074" width="17" style="2" bestFit="1" customWidth="1"/>
    <col min="1075" max="1075" width="13.42578125" style="2" bestFit="1" customWidth="1"/>
    <col min="1076" max="1076" width="17" style="2" bestFit="1" customWidth="1"/>
    <col min="1077" max="1077" width="13.42578125" style="2" bestFit="1" customWidth="1"/>
    <col min="1078" max="1078" width="17" style="2" bestFit="1" customWidth="1"/>
    <col min="1079" max="1079" width="13.42578125" style="2" bestFit="1" customWidth="1"/>
    <col min="1080" max="1080" width="17" style="2" bestFit="1" customWidth="1"/>
    <col min="1081" max="1081" width="13.42578125" style="2" bestFit="1" customWidth="1"/>
    <col min="1082" max="1082" width="17" style="2" bestFit="1" customWidth="1"/>
    <col min="1083" max="1083" width="13.42578125" style="2" bestFit="1" customWidth="1"/>
    <col min="1084" max="1084" width="17" style="2" bestFit="1" customWidth="1"/>
    <col min="1085" max="1085" width="13.42578125" style="2" bestFit="1" customWidth="1"/>
    <col min="1086" max="1086" width="17" style="2" bestFit="1" customWidth="1"/>
    <col min="1087" max="1087" width="13.42578125" style="2" bestFit="1" customWidth="1"/>
    <col min="1088" max="1088" width="17" style="2" bestFit="1" customWidth="1"/>
    <col min="1089" max="1089" width="13.42578125" style="2" bestFit="1" customWidth="1"/>
    <col min="1090" max="1090" width="17" style="2" bestFit="1" customWidth="1"/>
    <col min="1091" max="1091" width="13.42578125" style="2" bestFit="1" customWidth="1"/>
    <col min="1092" max="1092" width="17" style="2" bestFit="1" customWidth="1"/>
    <col min="1093" max="1093" width="13.42578125" style="2" bestFit="1" customWidth="1"/>
    <col min="1094" max="1094" width="17" style="2" bestFit="1" customWidth="1"/>
    <col min="1095" max="1095" width="13.42578125" style="2" bestFit="1" customWidth="1"/>
    <col min="1096" max="1096" width="17" style="2" bestFit="1" customWidth="1"/>
    <col min="1097" max="1097" width="13.42578125" style="2" bestFit="1" customWidth="1"/>
    <col min="1098" max="1098" width="17" style="2" bestFit="1" customWidth="1"/>
    <col min="1099" max="1099" width="13.42578125" style="2" bestFit="1" customWidth="1"/>
    <col min="1100" max="1100" width="17" style="2" bestFit="1" customWidth="1"/>
    <col min="1101" max="1101" width="13.42578125" style="2" bestFit="1" customWidth="1"/>
    <col min="1102" max="1102" width="17" style="2" bestFit="1" customWidth="1"/>
    <col min="1103" max="1103" width="13.42578125" style="2" bestFit="1" customWidth="1"/>
    <col min="1104" max="1104" width="17" style="2" bestFit="1" customWidth="1"/>
    <col min="1105" max="1105" width="13.42578125" style="2" bestFit="1" customWidth="1"/>
    <col min="1106" max="1106" width="17" style="2" bestFit="1" customWidth="1"/>
    <col min="1107" max="1107" width="13.42578125" style="2" bestFit="1" customWidth="1"/>
    <col min="1108" max="1108" width="17" style="2" bestFit="1" customWidth="1"/>
    <col min="1109" max="1109" width="13.42578125" style="2" bestFit="1" customWidth="1"/>
    <col min="1110" max="1110" width="17" style="2" bestFit="1" customWidth="1"/>
    <col min="1111" max="1111" width="13.42578125" style="2" bestFit="1" customWidth="1"/>
    <col min="1112" max="1112" width="17" style="2" bestFit="1" customWidth="1"/>
    <col min="1113" max="1113" width="13.42578125" style="2" bestFit="1" customWidth="1"/>
    <col min="1114" max="1114" width="17" style="2" bestFit="1" customWidth="1"/>
    <col min="1115" max="1115" width="13.42578125" style="2" bestFit="1" customWidth="1"/>
    <col min="1116" max="1116" width="17" style="2" bestFit="1" customWidth="1"/>
    <col min="1117" max="1117" width="13.42578125" style="2" bestFit="1" customWidth="1"/>
    <col min="1118" max="1118" width="17" style="2" bestFit="1" customWidth="1"/>
    <col min="1119" max="1119" width="13.42578125" style="2" bestFit="1" customWidth="1"/>
    <col min="1120" max="1120" width="17" style="2" bestFit="1" customWidth="1"/>
    <col min="1121" max="1121" width="13.42578125" style="2" bestFit="1" customWidth="1"/>
    <col min="1122" max="1122" width="17" style="2" bestFit="1" customWidth="1"/>
    <col min="1123" max="1123" width="13.42578125" style="2" bestFit="1" customWidth="1"/>
    <col min="1124" max="1124" width="17" style="2" bestFit="1" customWidth="1"/>
    <col min="1125" max="1125" width="13.42578125" style="2" bestFit="1" customWidth="1"/>
    <col min="1126" max="1126" width="17" style="2" bestFit="1" customWidth="1"/>
    <col min="1127" max="1127" width="13.42578125" style="2" bestFit="1" customWidth="1"/>
    <col min="1128" max="1128" width="17" style="2" bestFit="1" customWidth="1"/>
    <col min="1129" max="1129" width="13.42578125" style="2" bestFit="1" customWidth="1"/>
    <col min="1130" max="1130" width="17" style="2" bestFit="1" customWidth="1"/>
    <col min="1131" max="1131" width="13.42578125" style="2" bestFit="1" customWidth="1"/>
    <col min="1132" max="1132" width="17" style="2" bestFit="1" customWidth="1"/>
    <col min="1133" max="1133" width="13.42578125" style="2" bestFit="1" customWidth="1"/>
    <col min="1134" max="1134" width="17" style="2" bestFit="1" customWidth="1"/>
    <col min="1135" max="1135" width="13.42578125" style="2" bestFit="1" customWidth="1"/>
    <col min="1136" max="1136" width="17" style="2" bestFit="1" customWidth="1"/>
    <col min="1137" max="1137" width="13.42578125" style="2" bestFit="1" customWidth="1"/>
    <col min="1138" max="1138" width="17" style="2" bestFit="1" customWidth="1"/>
    <col min="1139" max="1139" width="13.42578125" style="2" bestFit="1" customWidth="1"/>
    <col min="1140" max="1140" width="17" style="2" bestFit="1" customWidth="1"/>
    <col min="1141" max="1141" width="13.42578125" style="2" bestFit="1" customWidth="1"/>
    <col min="1142" max="1142" width="17" style="2" bestFit="1" customWidth="1"/>
    <col min="1143" max="1143" width="13.42578125" style="2" bestFit="1" customWidth="1"/>
    <col min="1144" max="1144" width="17" style="2" bestFit="1" customWidth="1"/>
    <col min="1145" max="1145" width="13.42578125" style="2" bestFit="1" customWidth="1"/>
    <col min="1146" max="1146" width="17" style="2" bestFit="1" customWidth="1"/>
    <col min="1147" max="1147" width="13.42578125" style="2" bestFit="1" customWidth="1"/>
    <col min="1148" max="1148" width="17" style="2" bestFit="1" customWidth="1"/>
    <col min="1149" max="1149" width="13.7109375" style="2" bestFit="1" customWidth="1"/>
    <col min="1150" max="1150" width="17.42578125" style="2" bestFit="1" customWidth="1"/>
    <col min="1151" max="1151" width="13.7109375" style="2" bestFit="1" customWidth="1"/>
    <col min="1152" max="1152" width="17.42578125" style="2" bestFit="1" customWidth="1"/>
    <col min="1153" max="1153" width="13.7109375" style="2" bestFit="1" customWidth="1"/>
    <col min="1154" max="1154" width="17.42578125" style="2" bestFit="1" customWidth="1"/>
    <col min="1155" max="1155" width="13.7109375" style="2" bestFit="1" customWidth="1"/>
    <col min="1156" max="1156" width="17.42578125" style="2" bestFit="1" customWidth="1"/>
    <col min="1157" max="1157" width="13.7109375" style="2" bestFit="1" customWidth="1"/>
    <col min="1158" max="1158" width="17.42578125" style="2" bestFit="1" customWidth="1"/>
    <col min="1159" max="1159" width="13.7109375" style="2" bestFit="1" customWidth="1"/>
    <col min="1160" max="1160" width="17.42578125" style="2" bestFit="1" customWidth="1"/>
    <col min="1161" max="1161" width="13.7109375" style="2" bestFit="1" customWidth="1"/>
    <col min="1162" max="1162" width="17.42578125" style="2" bestFit="1" customWidth="1"/>
    <col min="1163" max="1163" width="13.7109375" style="2" bestFit="1" customWidth="1"/>
    <col min="1164" max="1164" width="17.42578125" style="2" bestFit="1" customWidth="1"/>
    <col min="1165" max="1165" width="13.7109375" style="2" bestFit="1" customWidth="1"/>
    <col min="1166" max="1166" width="17.42578125" style="2" bestFit="1" customWidth="1"/>
    <col min="1167" max="1167" width="13.7109375" style="2" bestFit="1" customWidth="1"/>
    <col min="1168" max="1168" width="17.42578125" style="2" bestFit="1" customWidth="1"/>
    <col min="1169" max="1169" width="13.7109375" style="2" bestFit="1" customWidth="1"/>
    <col min="1170" max="1170" width="17.42578125" style="2" bestFit="1" customWidth="1"/>
    <col min="1171" max="1171" width="13.7109375" style="2" bestFit="1" customWidth="1"/>
    <col min="1172" max="1172" width="17.42578125" style="2" bestFit="1" customWidth="1"/>
    <col min="1173" max="1173" width="13.7109375" style="2" bestFit="1" customWidth="1"/>
    <col min="1174" max="1174" width="17.42578125" style="2" bestFit="1" customWidth="1"/>
    <col min="1175" max="1175" width="13.7109375" style="2" bestFit="1" customWidth="1"/>
    <col min="1176" max="1176" width="17.42578125" style="2" bestFit="1" customWidth="1"/>
    <col min="1177" max="1177" width="13.7109375" style="2" bestFit="1" customWidth="1"/>
    <col min="1178" max="1178" width="17.42578125" style="2" bestFit="1" customWidth="1"/>
    <col min="1179" max="1179" width="13.7109375" style="2" bestFit="1" customWidth="1"/>
    <col min="1180" max="1180" width="17.42578125" style="2" bestFit="1" customWidth="1"/>
    <col min="1181" max="1181" width="13.7109375" style="2" bestFit="1" customWidth="1"/>
    <col min="1182" max="1182" width="17.42578125" style="2" bestFit="1" customWidth="1"/>
    <col min="1183" max="1183" width="13.7109375" style="2" bestFit="1" customWidth="1"/>
    <col min="1184" max="1184" width="17.42578125" style="2" bestFit="1" customWidth="1"/>
    <col min="1185" max="1185" width="13.7109375" style="2" bestFit="1" customWidth="1"/>
    <col min="1186" max="1186" width="17.42578125" style="2" bestFit="1" customWidth="1"/>
    <col min="1187" max="1187" width="13.7109375" style="2" bestFit="1" customWidth="1"/>
    <col min="1188" max="1188" width="17.42578125" style="2" bestFit="1" customWidth="1"/>
    <col min="1189" max="1189" width="13.7109375" style="2" bestFit="1" customWidth="1"/>
    <col min="1190" max="1190" width="17.42578125" style="2" bestFit="1" customWidth="1"/>
    <col min="1191" max="1191" width="13.7109375" style="2" bestFit="1" customWidth="1"/>
    <col min="1192" max="1192" width="17.42578125" style="2" bestFit="1" customWidth="1"/>
    <col min="1193" max="1193" width="13.7109375" style="2" bestFit="1" customWidth="1"/>
    <col min="1194" max="1194" width="17.42578125" style="2" bestFit="1" customWidth="1"/>
    <col min="1195" max="1195" width="13.7109375" style="2" bestFit="1" customWidth="1"/>
    <col min="1196" max="1196" width="17.42578125" style="2" bestFit="1" customWidth="1"/>
    <col min="1197" max="1197" width="13.7109375" style="2" bestFit="1" customWidth="1"/>
    <col min="1198" max="1198" width="17.42578125" style="2" bestFit="1" customWidth="1"/>
    <col min="1199" max="1199" width="13.7109375" style="2" bestFit="1" customWidth="1"/>
    <col min="1200" max="1200" width="17.42578125" style="2" bestFit="1" customWidth="1"/>
    <col min="1201" max="1201" width="13.7109375" style="2" bestFit="1" customWidth="1"/>
    <col min="1202" max="1202" width="17.42578125" style="2" bestFit="1" customWidth="1"/>
    <col min="1203" max="1203" width="13.7109375" style="2" bestFit="1" customWidth="1"/>
    <col min="1204" max="1204" width="17.42578125" style="2" bestFit="1" customWidth="1"/>
    <col min="1205" max="1205" width="13.7109375" style="2" bestFit="1" customWidth="1"/>
    <col min="1206" max="1206" width="17.42578125" style="2" bestFit="1" customWidth="1"/>
    <col min="1207" max="1207" width="13.7109375" style="2" bestFit="1" customWidth="1"/>
    <col min="1208" max="1208" width="17.42578125" style="2" bestFit="1" customWidth="1"/>
    <col min="1209" max="1209" width="13.7109375" style="2" bestFit="1" customWidth="1"/>
    <col min="1210" max="1210" width="17.42578125" style="2" bestFit="1" customWidth="1"/>
    <col min="1211" max="1211" width="13.7109375" style="2" bestFit="1" customWidth="1"/>
    <col min="1212" max="1212" width="17.42578125" style="2" bestFit="1" customWidth="1"/>
    <col min="1213" max="1213" width="13.7109375" style="2" bestFit="1" customWidth="1"/>
    <col min="1214" max="1214" width="17.42578125" style="2" bestFit="1" customWidth="1"/>
    <col min="1215" max="1215" width="13.7109375" style="2" bestFit="1" customWidth="1"/>
    <col min="1216" max="1216" width="17.42578125" style="2" bestFit="1" customWidth="1"/>
    <col min="1217" max="1217" width="13.7109375" style="2" bestFit="1" customWidth="1"/>
    <col min="1218" max="1218" width="17.42578125" style="2" bestFit="1" customWidth="1"/>
    <col min="1219" max="1219" width="12.5703125" style="2" bestFit="1" customWidth="1"/>
    <col min="1220" max="1220" width="16.140625" style="2" bestFit="1" customWidth="1"/>
    <col min="1221" max="1221" width="12.5703125" style="2" bestFit="1" customWidth="1"/>
    <col min="1222" max="1222" width="16.140625" style="2" bestFit="1" customWidth="1"/>
    <col min="1223" max="1223" width="12.5703125" style="2" bestFit="1" customWidth="1"/>
    <col min="1224" max="1224" width="16.140625" style="2" bestFit="1" customWidth="1"/>
    <col min="1225" max="1225" width="12.5703125" style="2" bestFit="1" customWidth="1"/>
    <col min="1226" max="1226" width="16.140625" style="2" bestFit="1" customWidth="1"/>
    <col min="1227" max="1227" width="12.5703125" style="2" bestFit="1" customWidth="1"/>
    <col min="1228" max="1228" width="16.140625" style="2" bestFit="1" customWidth="1"/>
    <col min="1229" max="1229" width="12.5703125" style="2" bestFit="1" customWidth="1"/>
    <col min="1230" max="1230" width="16.140625" style="2" bestFit="1" customWidth="1"/>
    <col min="1231" max="1231" width="12.5703125" style="2" bestFit="1" customWidth="1"/>
    <col min="1232" max="1232" width="16.140625" style="2" bestFit="1" customWidth="1"/>
    <col min="1233" max="1233" width="12.5703125" style="2" bestFit="1" customWidth="1"/>
    <col min="1234" max="1234" width="16.140625" style="2" bestFit="1" customWidth="1"/>
    <col min="1235" max="1235" width="12.5703125" style="2" bestFit="1" customWidth="1"/>
    <col min="1236" max="1236" width="16.140625" style="2" bestFit="1" customWidth="1"/>
    <col min="1237" max="1237" width="12.5703125" style="2" bestFit="1" customWidth="1"/>
    <col min="1238" max="1238" width="16.140625" style="2" bestFit="1" customWidth="1"/>
    <col min="1239" max="1239" width="14.28515625" style="2" bestFit="1" customWidth="1"/>
    <col min="1240" max="1240" width="18" style="2" bestFit="1" customWidth="1"/>
    <col min="1241" max="1241" width="14.28515625" style="2" bestFit="1" customWidth="1"/>
    <col min="1242" max="1242" width="18" style="2" bestFit="1" customWidth="1"/>
    <col min="1243" max="1243" width="14.28515625" style="2" bestFit="1" customWidth="1"/>
    <col min="1244" max="1244" width="18" style="2" bestFit="1" customWidth="1"/>
    <col min="1245" max="1245" width="14.28515625" style="2" bestFit="1" customWidth="1"/>
    <col min="1246" max="1246" width="18" style="2" bestFit="1" customWidth="1"/>
    <col min="1247" max="1247" width="14.42578125" style="2" bestFit="1" customWidth="1"/>
    <col min="1248" max="1248" width="18.140625" style="2" bestFit="1" customWidth="1"/>
    <col min="1249" max="1249" width="14.42578125" style="2" bestFit="1" customWidth="1"/>
    <col min="1250" max="1250" width="18.140625" style="2" bestFit="1" customWidth="1"/>
    <col min="1251" max="1251" width="14.42578125" style="2" bestFit="1" customWidth="1"/>
    <col min="1252" max="1252" width="18.140625" style="2" bestFit="1" customWidth="1"/>
    <col min="1253" max="1253" width="14.28515625" style="2" bestFit="1" customWidth="1"/>
    <col min="1254" max="1254" width="18" style="2" bestFit="1" customWidth="1"/>
    <col min="1255" max="1255" width="14.28515625" style="2" bestFit="1" customWidth="1"/>
    <col min="1256" max="1256" width="18" style="2" bestFit="1" customWidth="1"/>
    <col min="1257" max="1257" width="14.28515625" style="2" bestFit="1" customWidth="1"/>
    <col min="1258" max="16384" width="9.140625" style="2"/>
  </cols>
  <sheetData>
    <row r="1" spans="1:363" x14ac:dyDescent="0.25">
      <c r="A1" s="5" t="s">
        <v>54</v>
      </c>
      <c r="B1" s="6">
        <v>11</v>
      </c>
    </row>
    <row r="2" spans="1:363" x14ac:dyDescent="0.25">
      <c r="A2" s="5" t="s">
        <v>0</v>
      </c>
      <c r="B2" t="s">
        <v>2</v>
      </c>
    </row>
    <row r="4" spans="1:363" x14ac:dyDescent="0.25">
      <c r="A4" s="5" t="s">
        <v>56</v>
      </c>
      <c r="B4" s="5" t="s">
        <v>50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</row>
    <row r="5" spans="1:363" x14ac:dyDescent="0.25">
      <c r="A5"/>
      <c r="B5">
        <v>11134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</row>
    <row r="6" spans="1:363" x14ac:dyDescent="0.25">
      <c r="A6" s="5" t="s">
        <v>43</v>
      </c>
      <c r="B6" t="s">
        <v>58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</row>
    <row r="7" spans="1:363" x14ac:dyDescent="0.25">
      <c r="A7" s="6">
        <v>3</v>
      </c>
      <c r="B7" s="7">
        <v>3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</row>
    <row r="8" spans="1:363" x14ac:dyDescent="0.25">
      <c r="A8" s="6" t="s">
        <v>49</v>
      </c>
      <c r="B8" s="7">
        <v>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</row>
    <row r="9" spans="1:363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</row>
    <row r="10" spans="1:363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</row>
    <row r="11" spans="1:363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Arkusz1</vt:lpstr>
      <vt:lpstr>Kalendarz</vt:lpstr>
      <vt:lpstr>Obciążenie Wydajność</vt:lpstr>
      <vt:lpstr>Przyspieszenia</vt:lpstr>
      <vt:lpstr>Opóźnienia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JSZ</dc:creator>
  <cp:lastModifiedBy>JSZ</cp:lastModifiedBy>
  <cp:lastPrinted>2015-11-27T07:58:58Z</cp:lastPrinted>
  <dcterms:created xsi:type="dcterms:W3CDTF">2015-10-28T14:04:04Z</dcterms:created>
  <dcterms:modified xsi:type="dcterms:W3CDTF">2015-11-27T11:55:09Z</dcterms:modified>
</cp:coreProperties>
</file>