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en_skoroszyt" defaultThemeVersion="124226"/>
  <bookViews>
    <workbookView xWindow="0" yWindow="60" windowWidth="24000" windowHeight="9675"/>
  </bookViews>
  <sheets>
    <sheet name="zlecenie TTR" sheetId="2" r:id="rId1"/>
    <sheet name="Arkusz1" sheetId="5" r:id="rId2"/>
  </sheets>
  <definedNames>
    <definedName name="Handlowcy">'zlecenie TTR'!$B$58:$B$62</definedName>
    <definedName name="_xlnm.Print_Area" localSheetId="0">'zlecenie TTR'!$B$1:$M$57</definedName>
  </definedNames>
  <calcPr calcId="145621"/>
</workbook>
</file>

<file path=xl/calcChain.xml><?xml version="1.0" encoding="utf-8"?>
<calcChain xmlns="http://schemas.openxmlformats.org/spreadsheetml/2006/main">
  <c r="O3" i="2" l="1"/>
  <c r="O4" i="2"/>
  <c r="O7" i="2"/>
  <c r="O6" i="2"/>
  <c r="O5" i="2"/>
  <c r="O2" i="2"/>
  <c r="O1" i="2"/>
  <c r="C8" i="2" l="1"/>
  <c r="H2" i="2"/>
  <c r="J2" i="2"/>
  <c r="C57" i="2" l="1"/>
  <c r="J11" i="2" l="1"/>
  <c r="H11" i="2"/>
  <c r="L11" i="2" l="1"/>
  <c r="F17" i="2" s="1"/>
  <c r="D15" i="2"/>
</calcChain>
</file>

<file path=xl/sharedStrings.xml><?xml version="1.0" encoding="utf-8"?>
<sst xmlns="http://schemas.openxmlformats.org/spreadsheetml/2006/main" count="143" uniqueCount="103">
  <si>
    <t>IRMA PROKOPCZUK</t>
  </si>
  <si>
    <t>TTR131</t>
  </si>
  <si>
    <t>LISTA 1 - $D$5</t>
  </si>
  <si>
    <t>SZEROKOSCI TTR</t>
  </si>
  <si>
    <t>TTR101</t>
  </si>
  <si>
    <t>TTR111</t>
  </si>
  <si>
    <t>TTR112</t>
  </si>
  <si>
    <t>TTR201</t>
  </si>
  <si>
    <t>TTR211</t>
  </si>
  <si>
    <t>TTR231</t>
  </si>
  <si>
    <t>TTR302</t>
  </si>
  <si>
    <t>TOMASZ BRZEŹNIAKIEWICZ</t>
  </si>
  <si>
    <t>KRZYSZTOF CHONIAWKO</t>
  </si>
  <si>
    <t>MATEUSZ ŁESEJKO</t>
  </si>
  <si>
    <t>DARIUSZ GOLANOWSKI</t>
  </si>
  <si>
    <t>ZLECENIE PRODUKCYJNE TTR NR</t>
  </si>
  <si>
    <t>SPECYFIKACJA PRODUKCYJNA</t>
  </si>
  <si>
    <t>Długość taśmy:</t>
  </si>
  <si>
    <t>Długość taśmy (odpad):</t>
  </si>
  <si>
    <t>KLIENT:</t>
  </si>
  <si>
    <t>MAGAZYN:</t>
  </si>
  <si>
    <t>Uwagi od Kierownika Produkcji</t>
  </si>
  <si>
    <t>INFORMACJE POPRODUKCYJNE</t>
  </si>
  <si>
    <t>…………………………………………..</t>
  </si>
  <si>
    <t>Rolki zamówione:         …………………szer.           ………………..dł.            ……………….ilość</t>
  </si>
  <si>
    <t>Rolki uszkodzone:        …………………szer.           ………………..dł.            ……………….ilość</t>
  </si>
  <si>
    <t>Wykonał:   …………………………………………………</t>
  </si>
  <si>
    <t>Data zamówienia:</t>
  </si>
  <si>
    <t>………………….</t>
  </si>
  <si>
    <t>Uwagi od Specjalisty ds. Handlowych</t>
  </si>
  <si>
    <t>Ilość zużytej taśmy na rozruch [mb]:………………………………………………………………………………….</t>
  </si>
  <si>
    <t>Czas przygotowywania produkcji:…………………………………………………………………………………………</t>
  </si>
  <si>
    <t>Nr jumboroli:…………………………………………………………………………………………………………………………</t>
  </si>
  <si>
    <t>Całkowita ilość zużytej taśmy [mb]:……………………………………………………………………………………</t>
  </si>
  <si>
    <t>Czas trwania produkcji:……………………………………………………………………………………………….</t>
  </si>
  <si>
    <t>…………………………………………………………………………………………………………………………</t>
  </si>
  <si>
    <t>Wykonał: …………………………………………………………………..</t>
  </si>
  <si>
    <t>/</t>
  </si>
  <si>
    <t>x</t>
  </si>
  <si>
    <t>kursów</t>
  </si>
  <si>
    <t>Ilość użytków/kursów:</t>
  </si>
  <si>
    <t xml:space="preserve">  Rodzaj taśmy:</t>
  </si>
  <si>
    <t xml:space="preserve">  Szerokość taśmy:</t>
  </si>
  <si>
    <t xml:space="preserve">  Szerokość taśmy (odpad):</t>
  </si>
  <si>
    <t xml:space="preserve">  Ilość rolek:</t>
  </si>
  <si>
    <t xml:space="preserve">  Nasączenie:</t>
  </si>
  <si>
    <t xml:space="preserve">  Rodzaj gilzy:</t>
  </si>
  <si>
    <t xml:space="preserve">  Nacięcia na gilzach:</t>
  </si>
  <si>
    <t xml:space="preserve">  Wystająca gilza:</t>
  </si>
  <si>
    <t xml:space="preserve">  Dodatkowa gilza:</t>
  </si>
  <si>
    <r>
      <rPr>
        <i/>
        <sz val="11"/>
        <color theme="1"/>
        <rFont val="Tahoma"/>
        <family val="2"/>
        <charset val="238"/>
      </rPr>
      <t xml:space="preserve">Data:  </t>
    </r>
    <r>
      <rPr>
        <sz val="11"/>
        <color theme="1"/>
        <rFont val="Tahoma"/>
        <family val="2"/>
        <charset val="238"/>
      </rPr>
      <t xml:space="preserve">         ……………………………..</t>
    </r>
  </si>
  <si>
    <t>PP2.5</t>
  </si>
  <si>
    <t>Data wpłynięcia na konfekcję</t>
  </si>
  <si>
    <r>
      <rPr>
        <i/>
        <sz val="11"/>
        <color theme="1"/>
        <rFont val="Tahoma"/>
        <family val="2"/>
        <charset val="238"/>
      </rPr>
      <t xml:space="preserve">Koniec jumboroli:  </t>
    </r>
    <r>
      <rPr>
        <sz val="11"/>
        <color theme="1"/>
        <rFont val="Tahoma"/>
        <family val="2"/>
        <charset val="238"/>
      </rPr>
      <t xml:space="preserve">        TAK/NIE              </t>
    </r>
    <r>
      <rPr>
        <i/>
        <sz val="11"/>
        <color theme="1"/>
        <rFont val="Tahoma"/>
        <family val="2"/>
        <charset val="238"/>
      </rPr>
      <t xml:space="preserve">Nr jumboroli: </t>
    </r>
    <r>
      <rPr>
        <sz val="11"/>
        <color theme="1"/>
        <rFont val="Tahoma"/>
        <family val="2"/>
        <charset val="238"/>
      </rPr>
      <t xml:space="preserve">    ………………………………………..</t>
    </r>
  </si>
  <si>
    <t>INFORMACJE PO KONFEKCJI</t>
  </si>
  <si>
    <t xml:space="preserve">                                  …………………szer.           ………………..dł.            ……………….ilość</t>
  </si>
  <si>
    <t>Rolki z odpadu:            …………………szer.           ………………..dł.            ……………….ilość</t>
  </si>
  <si>
    <t>TEKTUROWA</t>
  </si>
  <si>
    <t>PLASTIKOWA</t>
  </si>
  <si>
    <t>TTR303</t>
  </si>
  <si>
    <t>TTR311</t>
  </si>
  <si>
    <t>Czy wystąpiły braki, awarie itp. TAK/NIE      …………………………………………………………………………..</t>
  </si>
  <si>
    <t>A___/</t>
  </si>
  <si>
    <t>TB</t>
  </si>
  <si>
    <t>IP</t>
  </si>
  <si>
    <t>KC</t>
  </si>
  <si>
    <t>MŁ</t>
  </si>
  <si>
    <t>DG</t>
  </si>
  <si>
    <t>Indeks produktu</t>
  </si>
  <si>
    <t>Klient</t>
  </si>
  <si>
    <t>Termin</t>
  </si>
  <si>
    <t>Zlecenie handlowe</t>
  </si>
  <si>
    <t>Handlowiec</t>
  </si>
  <si>
    <t>KARTA KONTROLI TAŚM TTR</t>
  </si>
  <si>
    <t>Strona/Stron</t>
  </si>
  <si>
    <t xml:space="preserve"> 1/1</t>
  </si>
  <si>
    <t>Data wydania</t>
  </si>
  <si>
    <t>03.11.2015</t>
  </si>
  <si>
    <t>FORMULARZ IJ.14.PP6.1</t>
  </si>
  <si>
    <t>Wydanie</t>
  </si>
  <si>
    <t>I</t>
  </si>
  <si>
    <t>KONTROLA WIZUALNA</t>
  </si>
  <si>
    <t>Wielkość partii produkcyjnej:</t>
  </si>
  <si>
    <t>ilość kontrolowanych sztuk:</t>
  </si>
  <si>
    <t>Cecha</t>
  </si>
  <si>
    <t>Decyzja</t>
  </si>
  <si>
    <t>Powierzchnia taśmy</t>
  </si>
  <si>
    <t>Z</t>
  </si>
  <si>
    <t>D</t>
  </si>
  <si>
    <t>NZ</t>
  </si>
  <si>
    <t>Oznaczenie taśmy</t>
  </si>
  <si>
    <t>Naciąg taśmy</t>
  </si>
  <si>
    <t>Uszkodzenia gilzy</t>
  </si>
  <si>
    <t>D, NZ – opis niezgodnośći</t>
  </si>
  <si>
    <t>Wynik końcowy kontroli</t>
  </si>
  <si>
    <t>Data i podpis</t>
  </si>
  <si>
    <t>KONTROLA WYMIAROWA</t>
  </si>
  <si>
    <t>Szerokość</t>
  </si>
  <si>
    <t>Wyniki pomiarów</t>
  </si>
  <si>
    <t>KONTROLA PAKOWANIA</t>
  </si>
  <si>
    <t>Estetyka zewnętrzna</t>
  </si>
  <si>
    <t>Zgodność oznaczenia</t>
  </si>
  <si>
    <t>Ilość opakowań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</si>
</sst>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>
    <font>
      <sz val="11"/>
      <color theme="1"/>
      <name val="Czcionka tekstu podstawowego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1"/>
      <name val="Tahoma"/>
      <family val="2"/>
      <charset val="238"/>
    </font>
    <font>
      <b/>
      <sz val="12"/>
      <color rgb="FFFF0000"/>
      <name val="Tahoma"/>
      <family val="2"/>
      <charset val="238"/>
    </font>
    <font>
      <b/>
      <sz val="14"/>
      <color theme="1"/>
      <name val="Tahoma"/>
      <family val="2"/>
      <charset val="238"/>
    </font>
    <font>
      <u/>
      <sz val="11"/>
      <color theme="1"/>
      <name val="Tahoma"/>
      <family val="2"/>
      <charset val="238"/>
    </font>
    <font>
      <b/>
      <sz val="14"/>
      <color rgb="FFFF0000"/>
      <name val="Tahoma"/>
      <family val="2"/>
      <charset val="238"/>
    </font>
    <font>
      <sz val="10"/>
      <color theme="1"/>
      <name val="Tahoma"/>
      <family val="2"/>
      <charset val="238"/>
    </font>
    <font>
      <b/>
      <sz val="10"/>
      <color theme="1"/>
      <name val="Tahoma"/>
      <family val="2"/>
      <charset val="238"/>
    </font>
    <font>
      <u/>
      <sz val="12"/>
      <color theme="1"/>
      <name val="Tahoma"/>
      <family val="2"/>
      <charset val="238"/>
    </font>
    <font>
      <i/>
      <sz val="11"/>
      <color theme="1"/>
      <name val="Tahoma"/>
      <family val="2"/>
      <charset val="238"/>
    </font>
    <font>
      <b/>
      <sz val="11"/>
      <color rgb="FF00B050"/>
      <name val="Tahoma"/>
      <family val="2"/>
      <charset val="238"/>
    </font>
    <font>
      <b/>
      <sz val="14"/>
      <color rgb="FF00B050"/>
      <name val="Tahoma"/>
      <family val="2"/>
      <charset val="238"/>
    </font>
    <font>
      <b/>
      <sz val="11"/>
      <color theme="1"/>
      <name val="Tahoma"/>
      <family val="2"/>
      <charset val="238"/>
    </font>
    <font>
      <sz val="12"/>
      <color theme="1"/>
      <name val="Tahoma"/>
      <family val="2"/>
      <charset val="238"/>
    </font>
    <font>
      <sz val="14"/>
      <color theme="1"/>
      <name val="Tahoma"/>
      <family val="2"/>
      <charset val="238"/>
    </font>
    <font>
      <b/>
      <sz val="10"/>
      <color rgb="FF00B050"/>
      <name val="Tahoma"/>
      <family val="2"/>
      <charset val="238"/>
    </font>
    <font>
      <sz val="10"/>
      <color rgb="FF00B050"/>
      <name val="Tahoma"/>
      <family val="2"/>
      <charset val="238"/>
    </font>
    <font>
      <b/>
      <i/>
      <sz val="11"/>
      <color theme="1"/>
      <name val="Tahoma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2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14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9"/>
      <color theme="1"/>
      <name val="Arial"/>
      <family val="2"/>
      <charset val="238"/>
    </font>
    <font>
      <sz val="11"/>
      <color rgb="FF00B050"/>
      <name val="Calibri"/>
      <family val="2"/>
      <charset val="238"/>
      <scheme val="minor"/>
    </font>
    <font>
      <sz val="11"/>
      <color rgb="FFFFD966"/>
      <name val="Calibri"/>
      <family val="2"/>
      <charset val="238"/>
      <scheme val="minor"/>
    </font>
    <font>
      <b/>
      <sz val="12"/>
      <color theme="1"/>
      <name val="Arial"/>
      <family val="2"/>
      <charset val="238"/>
    </font>
    <font>
      <b/>
      <sz val="16"/>
      <color rgb="FF00B050"/>
      <name val="Calibri"/>
      <family val="2"/>
      <charset val="238"/>
      <scheme val="minor"/>
    </font>
    <font>
      <b/>
      <sz val="16"/>
      <color rgb="FFFFD966"/>
      <name val="Calibri"/>
      <family val="2"/>
      <charset val="238"/>
      <scheme val="minor"/>
    </font>
    <font>
      <b/>
      <sz val="16"/>
      <color rgb="FFFF0000"/>
      <name val="Calibri"/>
      <family val="2"/>
      <charset val="238"/>
      <scheme val="minor"/>
    </font>
    <font>
      <sz val="12"/>
      <color rgb="FFFF0000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28">
    <xf numFmtId="0" fontId="0" fillId="0" borderId="0" xfId="0"/>
    <xf numFmtId="0" fontId="2" fillId="0" borderId="0" xfId="0" applyFont="1"/>
    <xf numFmtId="0" fontId="2" fillId="0" borderId="4" xfId="0" applyFont="1" applyBorder="1"/>
    <xf numFmtId="0" fontId="2" fillId="0" borderId="0" xfId="0" applyFont="1" applyBorder="1"/>
    <xf numFmtId="0" fontId="2" fillId="0" borderId="1" xfId="0" applyFont="1" applyBorder="1"/>
    <xf numFmtId="0" fontId="2" fillId="0" borderId="9" xfId="0" applyFont="1" applyBorder="1"/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0" fillId="0" borderId="4" xfId="0" applyFont="1" applyBorder="1"/>
    <xf numFmtId="0" fontId="10" fillId="0" borderId="0" xfId="0" applyFont="1" applyBorder="1"/>
    <xf numFmtId="0" fontId="11" fillId="0" borderId="0" xfId="0" applyFont="1" applyBorder="1" applyAlignment="1">
      <alignment horizontal="right"/>
    </xf>
    <xf numFmtId="0" fontId="11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0" fillId="0" borderId="10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0" borderId="1" xfId="0" applyFont="1" applyBorder="1" applyAlignment="1">
      <alignment horizontal="left"/>
    </xf>
    <xf numFmtId="0" fontId="10" fillId="0" borderId="8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2" fillId="3" borderId="0" xfId="0" applyFont="1" applyFill="1" applyBorder="1" applyAlignment="1">
      <alignment horizontal="center"/>
    </xf>
    <xf numFmtId="0" fontId="18" fillId="0" borderId="4" xfId="0" applyFont="1" applyBorder="1"/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0" xfId="0" applyFont="1" applyBorder="1" applyAlignment="1">
      <alignment horizontal="center" wrapText="1"/>
    </xf>
    <xf numFmtId="0" fontId="2" fillId="0" borderId="4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1" fillId="3" borderId="0" xfId="0" applyFont="1" applyFill="1" applyBorder="1" applyAlignment="1">
      <alignment horizontal="center"/>
    </xf>
    <xf numFmtId="0" fontId="16" fillId="3" borderId="0" xfId="0" applyFont="1" applyFill="1" applyBorder="1" applyAlignment="1">
      <alignment horizontal="left" vertical="center" wrapText="1"/>
    </xf>
    <xf numFmtId="0" fontId="17" fillId="3" borderId="0" xfId="0" applyFont="1" applyFill="1" applyBorder="1" applyAlignment="1">
      <alignment horizontal="left" vertical="center" wrapText="1"/>
    </xf>
    <xf numFmtId="0" fontId="4" fillId="3" borderId="0" xfId="0" applyFont="1" applyFill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9" fillId="0" borderId="4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15" fillId="0" borderId="13" xfId="0" applyFont="1" applyBorder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3" xfId="0" applyFont="1" applyBorder="1" applyAlignment="1"/>
    <xf numFmtId="0" fontId="10" fillId="0" borderId="15" xfId="0" applyFont="1" applyBorder="1" applyAlignment="1"/>
    <xf numFmtId="0" fontId="10" fillId="0" borderId="15" xfId="0" applyFont="1" applyBorder="1" applyAlignment="1">
      <alignment vertical="center"/>
    </xf>
    <xf numFmtId="0" fontId="10" fillId="0" borderId="17" xfId="0" applyFont="1" applyBorder="1" applyAlignment="1"/>
    <xf numFmtId="0" fontId="11" fillId="3" borderId="0" xfId="0" applyFont="1" applyFill="1" applyBorder="1" applyAlignment="1">
      <alignment horizontal="left"/>
    </xf>
    <xf numFmtId="0" fontId="1" fillId="0" borderId="0" xfId="1"/>
    <xf numFmtId="0" fontId="32" fillId="0" borderId="32" xfId="1" applyFont="1" applyBorder="1" applyAlignment="1">
      <alignment vertical="center" wrapText="1"/>
    </xf>
    <xf numFmtId="0" fontId="31" fillId="0" borderId="32" xfId="1" applyFont="1" applyBorder="1" applyAlignment="1">
      <alignment horizontal="center" vertical="center" wrapText="1"/>
    </xf>
    <xf numFmtId="0" fontId="30" fillId="0" borderId="32" xfId="1" applyFont="1" applyBorder="1" applyAlignment="1">
      <alignment horizontal="center" vertical="center" wrapText="1"/>
    </xf>
    <xf numFmtId="0" fontId="29" fillId="0" borderId="32" xfId="1" applyFont="1" applyBorder="1" applyAlignment="1">
      <alignment horizontal="center" vertical="center" wrapText="1"/>
    </xf>
    <xf numFmtId="0" fontId="19" fillId="0" borderId="29" xfId="1" applyFont="1" applyBorder="1" applyAlignment="1">
      <alignment horizontal="center" vertical="center" wrapText="1"/>
    </xf>
    <xf numFmtId="0" fontId="1" fillId="0" borderId="20" xfId="1" applyBorder="1"/>
    <xf numFmtId="0" fontId="27" fillId="0" borderId="20" xfId="1" applyFont="1" applyBorder="1" applyAlignment="1">
      <alignment horizontal="center" vertical="center" wrapText="1"/>
    </xf>
    <xf numFmtId="0" fontId="26" fillId="0" borderId="20" xfId="1" applyFont="1" applyBorder="1" applyAlignment="1">
      <alignment horizontal="center" vertical="center" wrapText="1"/>
    </xf>
    <xf numFmtId="0" fontId="23" fillId="0" borderId="25" xfId="1" applyFont="1" applyBorder="1" applyAlignment="1">
      <alignment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0" xfId="1" applyFont="1" applyBorder="1" applyAlignment="1">
      <alignment vertical="center" wrapText="1"/>
    </xf>
    <xf numFmtId="0" fontId="31" fillId="0" borderId="0" xfId="1" applyFont="1" applyBorder="1" applyAlignment="1">
      <alignment horizontal="center" vertical="center" wrapText="1"/>
    </xf>
    <xf numFmtId="0" fontId="30" fillId="0" borderId="0" xfId="1" applyFont="1" applyBorder="1" applyAlignment="1">
      <alignment horizontal="center" vertical="center" wrapText="1"/>
    </xf>
    <xf numFmtId="0" fontId="29" fillId="0" borderId="0" xfId="1" applyFont="1" applyBorder="1" applyAlignment="1">
      <alignment horizontal="center" vertical="center" wrapText="1"/>
    </xf>
    <xf numFmtId="0" fontId="28" fillId="0" borderId="0" xfId="1" applyFont="1" applyBorder="1" applyAlignment="1">
      <alignment horizontal="center" vertical="center" wrapText="1"/>
    </xf>
    <xf numFmtId="14" fontId="13" fillId="0" borderId="2" xfId="0" applyNumberFormat="1" applyFont="1" applyBorder="1" applyAlignment="1">
      <alignment horizontal="center" vertical="center"/>
    </xf>
    <xf numFmtId="0" fontId="13" fillId="3" borderId="0" xfId="0" applyFont="1" applyFill="1" applyBorder="1" applyAlignment="1">
      <alignment horizontal="left"/>
    </xf>
    <xf numFmtId="0" fontId="13" fillId="3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left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10" fillId="0" borderId="4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1" fillId="3" borderId="0" xfId="0" applyFont="1" applyFill="1" applyBorder="1" applyAlignment="1">
      <alignment horizontal="left"/>
    </xf>
    <xf numFmtId="0" fontId="11" fillId="3" borderId="0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left"/>
    </xf>
    <xf numFmtId="0" fontId="4" fillId="4" borderId="19" xfId="0" applyFont="1" applyFill="1" applyBorder="1" applyAlignment="1">
      <alignment horizontal="left"/>
    </xf>
    <xf numFmtId="0" fontId="24" fillId="0" borderId="28" xfId="1" applyFont="1" applyBorder="1" applyAlignment="1">
      <alignment horizontal="center" vertical="center" wrapText="1"/>
    </xf>
    <xf numFmtId="0" fontId="24" fillId="0" borderId="20" xfId="1" applyFont="1" applyBorder="1" applyAlignment="1">
      <alignment horizontal="center" vertical="center" wrapText="1"/>
    </xf>
    <xf numFmtId="0" fontId="19" fillId="0" borderId="20" xfId="1" applyFont="1" applyBorder="1" applyAlignment="1">
      <alignment horizontal="center" vertical="center" wrapText="1"/>
    </xf>
    <xf numFmtId="0" fontId="19" fillId="0" borderId="29" xfId="1" applyFont="1" applyBorder="1" applyAlignment="1">
      <alignment horizontal="center" vertical="center" wrapText="1"/>
    </xf>
    <xf numFmtId="0" fontId="19" fillId="0" borderId="10" xfId="1" applyFont="1" applyBorder="1" applyAlignment="1">
      <alignment horizontal="center" vertical="center" wrapText="1"/>
    </xf>
    <xf numFmtId="0" fontId="19" fillId="0" borderId="2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center" vertical="center" wrapText="1"/>
    </xf>
    <xf numFmtId="0" fontId="25" fillId="0" borderId="26" xfId="1" applyFont="1" applyBorder="1" applyAlignment="1">
      <alignment horizontal="right" vertical="center" wrapText="1"/>
    </xf>
    <xf numFmtId="0" fontId="22" fillId="0" borderId="20" xfId="1" applyFont="1" applyBorder="1" applyAlignment="1">
      <alignment horizontal="center" vertical="center" wrapText="1"/>
    </xf>
    <xf numFmtId="0" fontId="1" fillId="0" borderId="20" xfId="1" applyBorder="1" applyAlignment="1">
      <alignment horizontal="center"/>
    </xf>
    <xf numFmtId="0" fontId="20" fillId="0" borderId="20" xfId="1" applyFont="1" applyBorder="1" applyAlignment="1">
      <alignment horizontal="center" vertical="center" wrapText="1"/>
    </xf>
    <xf numFmtId="0" fontId="21" fillId="0" borderId="20" xfId="1" applyFont="1" applyBorder="1" applyAlignment="1">
      <alignment horizontal="center" vertical="center" wrapText="1"/>
    </xf>
    <xf numFmtId="0" fontId="1" fillId="0" borderId="28" xfId="1" applyBorder="1" applyAlignment="1">
      <alignment horizontal="center" vertical="center" wrapText="1"/>
    </xf>
    <xf numFmtId="0" fontId="1" fillId="0" borderId="20" xfId="1" applyBorder="1" applyAlignment="1">
      <alignment horizontal="center" vertical="center" wrapText="1"/>
    </xf>
    <xf numFmtId="0" fontId="24" fillId="0" borderId="29" xfId="1" applyFont="1" applyBorder="1" applyAlignment="1">
      <alignment horizontal="center" vertical="center" wrapText="1"/>
    </xf>
    <xf numFmtId="49" fontId="22" fillId="0" borderId="20" xfId="1" applyNumberFormat="1" applyFont="1" applyBorder="1" applyAlignment="1">
      <alignment horizontal="center" vertical="center" wrapText="1"/>
    </xf>
    <xf numFmtId="0" fontId="28" fillId="0" borderId="31" xfId="1" applyFont="1" applyBorder="1" applyAlignment="1">
      <alignment horizontal="center" vertical="center" wrapText="1"/>
    </xf>
    <xf numFmtId="0" fontId="28" fillId="0" borderId="32" xfId="1" applyFont="1" applyBorder="1" applyAlignment="1">
      <alignment horizontal="center" vertical="center" wrapText="1"/>
    </xf>
    <xf numFmtId="0" fontId="32" fillId="0" borderId="32" xfId="1" applyFont="1" applyBorder="1" applyAlignment="1">
      <alignment horizontal="center" vertical="center" wrapText="1"/>
    </xf>
    <xf numFmtId="0" fontId="32" fillId="0" borderId="33" xfId="1" applyFont="1" applyBorder="1" applyAlignment="1">
      <alignment horizontal="center" vertical="center" wrapText="1"/>
    </xf>
    <xf numFmtId="0" fontId="24" fillId="0" borderId="26" xfId="1" applyFont="1" applyBorder="1" applyAlignment="1">
      <alignment horizontal="center" vertical="center" wrapText="1"/>
    </xf>
    <xf numFmtId="0" fontId="24" fillId="0" borderId="27" xfId="1" applyFont="1" applyBorder="1" applyAlignment="1">
      <alignment horizontal="center" vertical="center" wrapText="1"/>
    </xf>
    <xf numFmtId="0" fontId="1" fillId="0" borderId="30" xfId="1" applyBorder="1" applyAlignment="1">
      <alignment horizontal="center" vertical="center" wrapText="1"/>
    </xf>
    <xf numFmtId="0" fontId="1" fillId="0" borderId="2" xfId="1" applyBorder="1" applyAlignment="1">
      <alignment horizontal="center" vertical="center" wrapText="1"/>
    </xf>
    <xf numFmtId="0" fontId="1" fillId="0" borderId="11" xfId="1" applyBorder="1" applyAlignment="1">
      <alignment horizontal="center" vertical="center" wrapText="1"/>
    </xf>
    <xf numFmtId="0" fontId="24" fillId="0" borderId="24" xfId="1" applyFont="1" applyBorder="1" applyAlignment="1">
      <alignment horizontal="center" vertical="center" wrapText="1"/>
    </xf>
    <xf numFmtId="0" fontId="24" fillId="0" borderId="22" xfId="1" applyFont="1" applyBorder="1" applyAlignment="1">
      <alignment horizontal="center" vertical="center" wrapText="1"/>
    </xf>
    <xf numFmtId="0" fontId="24" fillId="0" borderId="23" xfId="1" applyFont="1" applyBorder="1" applyAlignment="1">
      <alignment horizontal="center" vertical="center" wrapText="1"/>
    </xf>
    <xf numFmtId="0" fontId="23" fillId="0" borderId="35" xfId="1" applyFont="1" applyBorder="1" applyAlignment="1">
      <alignment horizontal="center" vertical="center" wrapText="1"/>
    </xf>
    <xf numFmtId="0" fontId="23" fillId="0" borderId="25" xfId="1" applyFont="1" applyBorder="1" applyAlignment="1">
      <alignment horizontal="center" vertical="center" wrapText="1"/>
    </xf>
    <xf numFmtId="0" fontId="23" fillId="0" borderId="36" xfId="1" applyFont="1" applyBorder="1" applyAlignment="1">
      <alignment horizontal="center" vertical="center" wrapText="1"/>
    </xf>
    <xf numFmtId="0" fontId="26" fillId="0" borderId="20" xfId="1" applyFont="1" applyBorder="1" applyAlignment="1">
      <alignment horizontal="center" vertical="center" wrapText="1"/>
    </xf>
    <xf numFmtId="0" fontId="23" fillId="0" borderId="21" xfId="1" applyFont="1" applyBorder="1" applyAlignment="1">
      <alignment horizontal="center" vertical="center" wrapText="1"/>
    </xf>
    <xf numFmtId="0" fontId="23" fillId="0" borderId="22" xfId="1" applyFont="1" applyBorder="1" applyAlignment="1">
      <alignment horizontal="center" vertical="center" wrapText="1"/>
    </xf>
    <xf numFmtId="0" fontId="23" fillId="0" borderId="23" xfId="1" applyFont="1" applyBorder="1" applyAlignment="1">
      <alignment horizontal="center" vertical="center" wrapText="1"/>
    </xf>
    <xf numFmtId="0" fontId="1" fillId="0" borderId="28" xfId="1" applyBorder="1" applyAlignment="1">
      <alignment horizontal="center" vertical="center"/>
    </xf>
    <xf numFmtId="0" fontId="1" fillId="0" borderId="20" xfId="1" applyBorder="1" applyAlignment="1">
      <alignment horizontal="center" vertical="center"/>
    </xf>
  </cellXfs>
  <cellStyles count="2">
    <cellStyle name="Normalny" xfId="0" builtinId="0"/>
    <cellStyle name="Normalny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123825</xdr:rowOff>
        </xdr:from>
        <xdr:to>
          <xdr:col>4</xdr:col>
          <xdr:colOff>142875</xdr:colOff>
          <xdr:row>19</xdr:row>
          <xdr:rowOff>57150</xdr:rowOff>
        </xdr:to>
        <xdr:sp macro="" textlink="">
          <xdr:nvSpPr>
            <xdr:cNvPr id="2068" name="CheckBox1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17</xdr:row>
          <xdr:rowOff>133350</xdr:rowOff>
        </xdr:from>
        <xdr:to>
          <xdr:col>5</xdr:col>
          <xdr:colOff>161925</xdr:colOff>
          <xdr:row>19</xdr:row>
          <xdr:rowOff>66675</xdr:rowOff>
        </xdr:to>
        <xdr:sp macro="" textlink="">
          <xdr:nvSpPr>
            <xdr:cNvPr id="2070" name="CheckBox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19</xdr:row>
          <xdr:rowOff>133350</xdr:rowOff>
        </xdr:from>
        <xdr:to>
          <xdr:col>4</xdr:col>
          <xdr:colOff>314325</xdr:colOff>
          <xdr:row>21</xdr:row>
          <xdr:rowOff>95250</xdr:rowOff>
        </xdr:to>
        <xdr:sp macro="" textlink="">
          <xdr:nvSpPr>
            <xdr:cNvPr id="2072" name="CheckBox3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19</xdr:row>
          <xdr:rowOff>142875</xdr:rowOff>
        </xdr:from>
        <xdr:to>
          <xdr:col>5</xdr:col>
          <xdr:colOff>142875</xdr:colOff>
          <xdr:row>21</xdr:row>
          <xdr:rowOff>76200</xdr:rowOff>
        </xdr:to>
        <xdr:sp macro="" textlink="">
          <xdr:nvSpPr>
            <xdr:cNvPr id="2073" name="CheckBox4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21</xdr:row>
          <xdr:rowOff>123825</xdr:rowOff>
        </xdr:from>
        <xdr:to>
          <xdr:col>4</xdr:col>
          <xdr:colOff>133350</xdr:colOff>
          <xdr:row>23</xdr:row>
          <xdr:rowOff>57150</xdr:rowOff>
        </xdr:to>
        <xdr:sp macro="" textlink="">
          <xdr:nvSpPr>
            <xdr:cNvPr id="2074" name="CheckBox5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21</xdr:row>
          <xdr:rowOff>133350</xdr:rowOff>
        </xdr:from>
        <xdr:to>
          <xdr:col>4</xdr:col>
          <xdr:colOff>704850</xdr:colOff>
          <xdr:row>23</xdr:row>
          <xdr:rowOff>66675</xdr:rowOff>
        </xdr:to>
        <xdr:sp macro="" textlink="">
          <xdr:nvSpPr>
            <xdr:cNvPr id="2075" name="CheckBox6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21</xdr:row>
          <xdr:rowOff>123825</xdr:rowOff>
        </xdr:from>
        <xdr:to>
          <xdr:col>6</xdr:col>
          <xdr:colOff>95250</xdr:colOff>
          <xdr:row>23</xdr:row>
          <xdr:rowOff>57150</xdr:rowOff>
        </xdr:to>
        <xdr:sp macro="" textlink="">
          <xdr:nvSpPr>
            <xdr:cNvPr id="2076" name="CheckBox7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24</xdr:row>
          <xdr:rowOff>0</xdr:rowOff>
        </xdr:from>
        <xdr:to>
          <xdr:col>4</xdr:col>
          <xdr:colOff>133350</xdr:colOff>
          <xdr:row>26</xdr:row>
          <xdr:rowOff>9525</xdr:rowOff>
        </xdr:to>
        <xdr:sp macro="" textlink="">
          <xdr:nvSpPr>
            <xdr:cNvPr id="2077" name="CheckBox8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24</xdr:row>
          <xdr:rowOff>0</xdr:rowOff>
        </xdr:from>
        <xdr:to>
          <xdr:col>5</xdr:col>
          <xdr:colOff>152400</xdr:colOff>
          <xdr:row>26</xdr:row>
          <xdr:rowOff>9525</xdr:rowOff>
        </xdr:to>
        <xdr:sp macro="" textlink="">
          <xdr:nvSpPr>
            <xdr:cNvPr id="2078" name="CheckBox9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26</xdr:row>
          <xdr:rowOff>0</xdr:rowOff>
        </xdr:from>
        <xdr:to>
          <xdr:col>4</xdr:col>
          <xdr:colOff>133350</xdr:colOff>
          <xdr:row>26</xdr:row>
          <xdr:rowOff>295275</xdr:rowOff>
        </xdr:to>
        <xdr:sp macro="" textlink="">
          <xdr:nvSpPr>
            <xdr:cNvPr id="2079" name="CheckBox10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26</xdr:row>
          <xdr:rowOff>0</xdr:rowOff>
        </xdr:from>
        <xdr:to>
          <xdr:col>5</xdr:col>
          <xdr:colOff>152400</xdr:colOff>
          <xdr:row>26</xdr:row>
          <xdr:rowOff>295275</xdr:rowOff>
        </xdr:to>
        <xdr:sp macro="" textlink="">
          <xdr:nvSpPr>
            <xdr:cNvPr id="2080" name="CheckBox11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58616</xdr:colOff>
      <xdr:row>0</xdr:row>
      <xdr:rowOff>117231</xdr:rowOff>
    </xdr:from>
    <xdr:to>
      <xdr:col>1</xdr:col>
      <xdr:colOff>456701</xdr:colOff>
      <xdr:row>2</xdr:row>
      <xdr:rowOff>14654</xdr:rowOff>
    </xdr:to>
    <xdr:pic>
      <xdr:nvPicPr>
        <xdr:cNvPr id="2" name="Obraz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16" y="117231"/>
          <a:ext cx="1007685" cy="278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B1:O70"/>
  <sheetViews>
    <sheetView showGridLines="0" tabSelected="1" showRuler="0" view="pageBreakPreview" zoomScale="85" zoomScaleSheetLayoutView="85" workbookViewId="0">
      <selection activeCell="F21" sqref="F21:G21"/>
    </sheetView>
  </sheetViews>
  <sheetFormatPr defaultRowHeight="14.25"/>
  <cols>
    <col min="1" max="1" width="3.375" style="1" customWidth="1"/>
    <col min="2" max="2" width="16.875" style="1" customWidth="1"/>
    <col min="3" max="3" width="9" style="1" customWidth="1"/>
    <col min="4" max="4" width="9" style="1"/>
    <col min="5" max="5" width="10.625" style="1" customWidth="1"/>
    <col min="6" max="6" width="9.75" style="1" customWidth="1"/>
    <col min="7" max="7" width="10.5" style="1" customWidth="1"/>
    <col min="8" max="8" width="6.875" style="1" customWidth="1"/>
    <col min="9" max="9" width="2.125" style="1" customWidth="1"/>
    <col min="10" max="10" width="4.75" style="1" customWidth="1"/>
    <col min="11" max="11" width="1.25" style="1" customWidth="1"/>
    <col min="12" max="12" width="3.375" style="1" customWidth="1"/>
    <col min="13" max="13" width="8" style="1" customWidth="1"/>
    <col min="14" max="14" width="8.375" style="1" hidden="1" customWidth="1"/>
    <col min="15" max="15" width="3.625" style="1" hidden="1" customWidth="1"/>
    <col min="16" max="16384" width="9" style="1"/>
  </cols>
  <sheetData>
    <row r="1" spans="2:15" ht="16.5" customHeight="1" thickBot="1">
      <c r="B1" s="20"/>
      <c r="C1" s="21"/>
      <c r="D1" s="21"/>
      <c r="E1" s="21"/>
      <c r="F1" s="21"/>
      <c r="G1" s="21"/>
      <c r="H1" s="21"/>
      <c r="I1" s="21"/>
      <c r="J1" s="21"/>
      <c r="K1" s="21"/>
      <c r="L1" s="21"/>
      <c r="M1" s="22"/>
      <c r="N1" s="1" t="b">
        <v>0</v>
      </c>
      <c r="O1" s="1" t="str">
        <f>IF(N1=TRUE,"OUT","")</f>
        <v/>
      </c>
    </row>
    <row r="2" spans="2:15" ht="18.75" customHeight="1">
      <c r="B2" s="20"/>
      <c r="C2" s="53" t="s">
        <v>15</v>
      </c>
      <c r="D2" s="53"/>
      <c r="E2" s="53"/>
      <c r="F2" s="53"/>
      <c r="G2" s="54" t="s">
        <v>62</v>
      </c>
      <c r="H2" s="55">
        <f ca="1">YEAR(NOW())</f>
        <v>2015</v>
      </c>
      <c r="I2" s="55" t="s">
        <v>37</v>
      </c>
      <c r="J2" s="80" t="e">
        <f>VLOOKUP(C7,$B$58:$C$62,2,)</f>
        <v>#N/A</v>
      </c>
      <c r="K2" s="80"/>
      <c r="L2" s="80"/>
      <c r="M2" s="81"/>
      <c r="N2" s="1" t="b">
        <v>0</v>
      </c>
      <c r="O2" s="1" t="str">
        <f>IF(N2=TRUE,"IN","")</f>
        <v/>
      </c>
    </row>
    <row r="3" spans="2:15" ht="6.75" customHeight="1">
      <c r="B3" s="23"/>
      <c r="C3" s="14"/>
      <c r="D3" s="14"/>
      <c r="E3" s="14"/>
      <c r="F3" s="14"/>
      <c r="G3" s="15"/>
      <c r="H3" s="15"/>
      <c r="I3" s="15"/>
      <c r="J3" s="15"/>
      <c r="K3" s="15"/>
      <c r="L3" s="15"/>
      <c r="M3" s="24"/>
      <c r="N3" s="1" t="b">
        <v>0</v>
      </c>
      <c r="O3" s="1" t="str">
        <f>IF(N3=TRUE,"05","")</f>
        <v/>
      </c>
    </row>
    <row r="4" spans="2:15" ht="18" customHeight="1">
      <c r="B4" s="56" t="s">
        <v>69</v>
      </c>
      <c r="C4" s="47"/>
      <c r="D4" s="47"/>
      <c r="E4" s="47"/>
      <c r="F4" s="47"/>
      <c r="G4" s="47"/>
      <c r="H4" s="47"/>
      <c r="I4" s="47"/>
      <c r="J4" s="47"/>
      <c r="K4" s="47"/>
      <c r="L4" s="47"/>
      <c r="M4" s="24"/>
      <c r="N4" s="1" t="b">
        <v>0</v>
      </c>
      <c r="O4" s="1" t="str">
        <f>IF(N4=TRUE,"10","")</f>
        <v/>
      </c>
    </row>
    <row r="5" spans="2:15" ht="18" customHeight="1">
      <c r="B5" s="56" t="s">
        <v>70</v>
      </c>
      <c r="C5" s="47"/>
      <c r="D5" s="47"/>
      <c r="E5" s="47"/>
      <c r="F5" s="47"/>
      <c r="G5" s="47"/>
      <c r="H5" s="47"/>
      <c r="I5" s="47"/>
      <c r="J5" s="47"/>
      <c r="K5" s="47"/>
      <c r="L5" s="47"/>
      <c r="M5" s="24"/>
      <c r="N5" s="1" t="b">
        <v>0</v>
      </c>
      <c r="O5" s="1" t="str">
        <f>IF(N5=TRUE,"0","")</f>
        <v/>
      </c>
    </row>
    <row r="6" spans="2:15" ht="18" customHeight="1">
      <c r="B6" s="57" t="s">
        <v>71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24"/>
      <c r="N6" s="1" t="b">
        <v>0</v>
      </c>
      <c r="O6" s="1" t="str">
        <f>IF(N6=TRUE,1,"")</f>
        <v/>
      </c>
    </row>
    <row r="7" spans="2:15" ht="18" customHeight="1">
      <c r="B7" s="56" t="s">
        <v>72</v>
      </c>
      <c r="C7" s="79"/>
      <c r="D7" s="79"/>
      <c r="E7" s="79"/>
      <c r="F7" s="79"/>
      <c r="G7" s="79"/>
      <c r="H7" s="79"/>
      <c r="I7" s="79"/>
      <c r="J7" s="79"/>
      <c r="K7" s="79"/>
      <c r="L7" s="79"/>
      <c r="M7" s="24"/>
      <c r="N7" s="1" t="b">
        <v>0</v>
      </c>
      <c r="O7" s="1" t="str">
        <f>IF(N7=TRUE,2,"")</f>
        <v/>
      </c>
    </row>
    <row r="8" spans="2:15" ht="18" customHeight="1" thickBot="1">
      <c r="B8" s="58" t="s">
        <v>68</v>
      </c>
      <c r="C8" s="89" t="str">
        <f>CONCATENATE(D13,"x",H13,"/",O1,O2,"/",D11,"/",O3,O4,"/",IF(F21="TEKTUROWA","T","P"),"/",O5,O6,O7,"/",IF(N8=TRUE,F25,0),"/",IF(N9=TRUE,IF(F27="TEKTUROWA","T","P"),"0"))</f>
        <v>x////P//0/0</v>
      </c>
      <c r="D8" s="89"/>
      <c r="E8" s="89"/>
      <c r="F8" s="89"/>
      <c r="G8" s="89"/>
      <c r="H8" s="89"/>
      <c r="I8" s="89"/>
      <c r="J8" s="89"/>
      <c r="K8" s="89"/>
      <c r="L8" s="89"/>
      <c r="M8" s="90"/>
      <c r="N8" s="1" t="b">
        <v>0</v>
      </c>
    </row>
    <row r="9" spans="2:15" ht="15">
      <c r="B9" s="51" t="s">
        <v>16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9"/>
      <c r="N9" s="1" t="b">
        <v>0</v>
      </c>
    </row>
    <row r="10" spans="2:15" ht="9" customHeight="1"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4"/>
    </row>
    <row r="11" spans="2:15" ht="18">
      <c r="B11" s="42" t="s">
        <v>41</v>
      </c>
      <c r="C11" s="43"/>
      <c r="D11" s="82"/>
      <c r="E11" s="82"/>
      <c r="F11" s="43" t="s">
        <v>40</v>
      </c>
      <c r="G11" s="43"/>
      <c r="H11" s="11" t="e">
        <f>FLOOR(VLOOKUP(D11,D59:E68,2)/D13,1)</f>
        <v>#N/A</v>
      </c>
      <c r="I11" s="11" t="s">
        <v>38</v>
      </c>
      <c r="J11" s="12">
        <f>D13</f>
        <v>0</v>
      </c>
      <c r="K11" s="11" t="s">
        <v>37</v>
      </c>
      <c r="L11" s="12" t="e">
        <f>CEILING('zlecenie TTR'!D17/'zlecenie TTR'!H11,1)</f>
        <v>#N/A</v>
      </c>
      <c r="M11" s="27" t="s">
        <v>39</v>
      </c>
    </row>
    <row r="12" spans="2:15" ht="6.75" customHeight="1">
      <c r="B12" s="42"/>
      <c r="C12" s="43"/>
      <c r="D12" s="43"/>
      <c r="E12" s="43"/>
      <c r="F12" s="43"/>
      <c r="G12" s="43"/>
      <c r="H12" s="36"/>
      <c r="I12" s="36"/>
      <c r="J12" s="36"/>
      <c r="K12" s="36"/>
      <c r="L12" s="36"/>
      <c r="M12" s="4"/>
    </row>
    <row r="13" spans="2:15">
      <c r="B13" s="42" t="s">
        <v>42</v>
      </c>
      <c r="C13" s="43"/>
      <c r="D13" s="77"/>
      <c r="E13" s="77"/>
      <c r="F13" s="43" t="s">
        <v>17</v>
      </c>
      <c r="G13" s="43"/>
      <c r="H13" s="78"/>
      <c r="I13" s="78"/>
      <c r="J13" s="78"/>
      <c r="K13" s="78"/>
      <c r="L13" s="78"/>
      <c r="M13" s="4"/>
    </row>
    <row r="14" spans="2:15" ht="8.25" customHeight="1">
      <c r="B14" s="42"/>
      <c r="C14" s="43"/>
      <c r="D14" s="36"/>
      <c r="E14" s="36"/>
      <c r="F14" s="43"/>
      <c r="G14" s="43"/>
      <c r="H14" s="36"/>
      <c r="I14" s="36"/>
      <c r="J14" s="36"/>
      <c r="K14" s="36"/>
      <c r="L14" s="36"/>
      <c r="M14" s="4"/>
    </row>
    <row r="15" spans="2:15">
      <c r="B15" s="42" t="s">
        <v>43</v>
      </c>
      <c r="C15" s="43"/>
      <c r="D15" s="50" t="e">
        <f>VLOOKUP(D11,D59:E68,2)-(D13*H11)</f>
        <v>#N/A</v>
      </c>
      <c r="E15" s="50"/>
      <c r="F15" s="43" t="s">
        <v>18</v>
      </c>
      <c r="G15" s="43"/>
      <c r="H15" s="50"/>
      <c r="I15" s="50"/>
      <c r="J15" s="50"/>
      <c r="K15" s="50"/>
      <c r="L15" s="50"/>
      <c r="M15" s="4"/>
    </row>
    <row r="16" spans="2:15" ht="7.5" customHeight="1">
      <c r="B16" s="42"/>
      <c r="C16" s="43"/>
      <c r="D16" s="36"/>
      <c r="E16" s="36"/>
      <c r="F16" s="36"/>
      <c r="G16" s="36"/>
      <c r="H16" s="36"/>
      <c r="I16" s="36"/>
      <c r="J16" s="36"/>
      <c r="K16" s="36"/>
      <c r="L16" s="36"/>
      <c r="M16" s="4"/>
    </row>
    <row r="17" spans="2:13" ht="18">
      <c r="B17" s="31" t="s">
        <v>44</v>
      </c>
      <c r="C17" s="10" t="s">
        <v>19</v>
      </c>
      <c r="D17" s="30"/>
      <c r="E17" s="10" t="s">
        <v>20</v>
      </c>
      <c r="F17" s="13" t="e">
        <f>H11*L11-D17</f>
        <v>#N/A</v>
      </c>
      <c r="G17" s="3"/>
      <c r="H17" s="3"/>
      <c r="I17" s="3"/>
      <c r="J17" s="3"/>
      <c r="K17" s="3"/>
      <c r="L17" s="3"/>
      <c r="M17" s="4"/>
    </row>
    <row r="18" spans="2:13">
      <c r="B18" s="9"/>
      <c r="C18" s="10"/>
      <c r="D18" s="3"/>
      <c r="E18" s="3"/>
      <c r="F18" s="3"/>
      <c r="G18" s="3"/>
      <c r="H18" s="3"/>
      <c r="I18" s="3"/>
      <c r="J18" s="3"/>
      <c r="K18" s="3"/>
      <c r="L18" s="3"/>
      <c r="M18" s="4"/>
    </row>
    <row r="19" spans="2:13">
      <c r="B19" s="42" t="s">
        <v>45</v>
      </c>
      <c r="C19" s="43"/>
      <c r="D19" s="3"/>
      <c r="E19" s="3"/>
      <c r="F19" s="3"/>
      <c r="G19" s="3"/>
      <c r="H19" s="3"/>
      <c r="I19" s="3"/>
      <c r="J19" s="3"/>
      <c r="K19" s="3"/>
      <c r="L19" s="3"/>
      <c r="M19" s="4"/>
    </row>
    <row r="20" spans="2:13">
      <c r="B20" s="9"/>
      <c r="C20" s="10"/>
      <c r="D20" s="3"/>
      <c r="E20" s="3"/>
      <c r="F20" s="3"/>
      <c r="G20" s="3"/>
      <c r="H20" s="3"/>
      <c r="I20" s="3"/>
      <c r="J20" s="3"/>
      <c r="K20" s="3"/>
      <c r="L20" s="3"/>
      <c r="M20" s="4"/>
    </row>
    <row r="21" spans="2:13">
      <c r="B21" s="42" t="s">
        <v>46</v>
      </c>
      <c r="C21" s="43"/>
      <c r="D21" s="3"/>
      <c r="E21" s="3"/>
      <c r="F21" s="88"/>
      <c r="G21" s="88"/>
      <c r="H21" s="3"/>
      <c r="I21" s="3"/>
      <c r="J21" s="3"/>
      <c r="K21" s="3"/>
      <c r="L21" s="3"/>
      <c r="M21" s="4"/>
    </row>
    <row r="22" spans="2:13">
      <c r="B22" s="9"/>
      <c r="C22" s="10"/>
      <c r="D22" s="3"/>
      <c r="E22" s="3"/>
      <c r="F22" s="3"/>
      <c r="G22" s="3"/>
      <c r="H22" s="3"/>
      <c r="I22" s="3"/>
      <c r="J22" s="3"/>
      <c r="K22" s="3"/>
      <c r="L22" s="3"/>
      <c r="M22" s="4"/>
    </row>
    <row r="23" spans="2:13">
      <c r="B23" s="42" t="s">
        <v>47</v>
      </c>
      <c r="C23" s="43"/>
      <c r="D23" s="3"/>
      <c r="E23" s="3"/>
      <c r="F23" s="3"/>
      <c r="G23" s="41"/>
      <c r="H23" s="41"/>
      <c r="I23" s="41"/>
      <c r="J23" s="41"/>
      <c r="K23" s="41"/>
      <c r="L23" s="41"/>
      <c r="M23" s="4"/>
    </row>
    <row r="24" spans="2:13" ht="9.75" customHeight="1">
      <c r="B24" s="9"/>
      <c r="C24" s="10"/>
      <c r="D24" s="3"/>
      <c r="E24" s="3"/>
      <c r="F24" s="3"/>
      <c r="G24" s="3"/>
      <c r="H24" s="3"/>
      <c r="I24" s="3"/>
      <c r="J24" s="3"/>
      <c r="K24" s="3"/>
      <c r="L24" s="3"/>
      <c r="M24" s="4"/>
    </row>
    <row r="25" spans="2:13">
      <c r="B25" s="42" t="s">
        <v>48</v>
      </c>
      <c r="C25" s="43"/>
      <c r="D25" s="3"/>
      <c r="E25" s="3"/>
      <c r="F25" s="59"/>
      <c r="G25" s="44"/>
      <c r="H25" s="44"/>
      <c r="I25" s="44"/>
      <c r="J25" s="44"/>
      <c r="K25" s="44"/>
      <c r="L25" s="44"/>
      <c r="M25" s="4"/>
    </row>
    <row r="26" spans="2:13" ht="8.25" customHeight="1">
      <c r="B26" s="9"/>
      <c r="C26" s="10"/>
      <c r="D26" s="3"/>
      <c r="E26" s="3"/>
      <c r="F26" s="3"/>
      <c r="G26" s="3"/>
      <c r="H26" s="3"/>
      <c r="I26" s="3"/>
      <c r="J26" s="3"/>
      <c r="K26" s="3"/>
      <c r="L26" s="3"/>
      <c r="M26" s="4"/>
    </row>
    <row r="27" spans="2:13" ht="24.75" customHeight="1">
      <c r="B27" s="42" t="s">
        <v>49</v>
      </c>
      <c r="C27" s="43"/>
      <c r="D27" s="3"/>
      <c r="E27" s="3"/>
      <c r="F27" s="87"/>
      <c r="G27" s="87"/>
      <c r="H27" s="87"/>
      <c r="I27" s="87"/>
      <c r="J27" s="87"/>
      <c r="K27" s="87"/>
      <c r="L27" s="87"/>
      <c r="M27" s="4"/>
    </row>
    <row r="28" spans="2:13" ht="42.75" customHeight="1">
      <c r="B28" s="83" t="s">
        <v>29</v>
      </c>
      <c r="C28" s="84"/>
      <c r="D28" s="45"/>
      <c r="E28" s="46"/>
      <c r="F28" s="46"/>
      <c r="G28" s="46"/>
      <c r="H28" s="46"/>
      <c r="I28" s="46"/>
      <c r="J28" s="46"/>
      <c r="K28" s="46"/>
      <c r="L28" s="46"/>
      <c r="M28" s="4"/>
    </row>
    <row r="29" spans="2:13" ht="6.75" customHeight="1">
      <c r="B29" s="9"/>
      <c r="C29" s="10"/>
      <c r="D29" s="3"/>
      <c r="E29" s="3"/>
      <c r="F29" s="3"/>
      <c r="G29" s="3"/>
      <c r="H29" s="3"/>
      <c r="I29" s="3"/>
      <c r="J29" s="3"/>
      <c r="K29" s="3"/>
      <c r="L29" s="3"/>
      <c r="M29" s="4"/>
    </row>
    <row r="30" spans="2:13" ht="28.5" customHeight="1">
      <c r="B30" s="85" t="s">
        <v>21</v>
      </c>
      <c r="C30" s="86"/>
      <c r="D30" s="34"/>
      <c r="E30" s="34"/>
      <c r="F30" s="34"/>
      <c r="G30" s="34"/>
      <c r="H30" s="34"/>
      <c r="I30" s="34"/>
      <c r="J30" s="34"/>
      <c r="K30" s="34"/>
      <c r="L30" s="34"/>
      <c r="M30" s="4"/>
    </row>
    <row r="31" spans="2:13">
      <c r="B31" s="52" t="s">
        <v>22</v>
      </c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</row>
    <row r="32" spans="2:13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4"/>
    </row>
    <row r="33" spans="2:13">
      <c r="B33" s="35" t="s">
        <v>30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</row>
    <row r="34" spans="2:13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4"/>
    </row>
    <row r="35" spans="2:13">
      <c r="B35" s="35" t="s">
        <v>31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</row>
    <row r="36" spans="2:13"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4"/>
    </row>
    <row r="37" spans="2:13">
      <c r="B37" s="35" t="s">
        <v>32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</row>
    <row r="38" spans="2:13">
      <c r="B38" s="2"/>
      <c r="C38" s="3"/>
      <c r="D38" s="3"/>
      <c r="E38" s="3"/>
      <c r="F38" s="3"/>
      <c r="G38" s="3"/>
      <c r="H38" s="3"/>
      <c r="I38" s="3"/>
      <c r="J38" s="3"/>
      <c r="K38" s="3"/>
      <c r="L38" s="3"/>
      <c r="M38" s="4"/>
    </row>
    <row r="39" spans="2:13">
      <c r="B39" s="35" t="s">
        <v>33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</row>
    <row r="40" spans="2:13"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4"/>
    </row>
    <row r="41" spans="2:13">
      <c r="B41" s="35" t="s">
        <v>34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</row>
    <row r="42" spans="2:13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4"/>
    </row>
    <row r="43" spans="2:13">
      <c r="B43" s="35" t="s">
        <v>61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</row>
    <row r="44" spans="2:13"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4"/>
    </row>
    <row r="45" spans="2:13">
      <c r="B45" s="35" t="s">
        <v>35</v>
      </c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</row>
    <row r="46" spans="2:13"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4"/>
    </row>
    <row r="47" spans="2:13">
      <c r="B47" s="35" t="s">
        <v>23</v>
      </c>
      <c r="C47" s="41"/>
      <c r="D47" s="41"/>
      <c r="E47" s="36" t="s">
        <v>36</v>
      </c>
      <c r="F47" s="36"/>
      <c r="G47" s="36"/>
      <c r="H47" s="36"/>
      <c r="I47" s="36"/>
      <c r="J47" s="36"/>
      <c r="K47" s="36"/>
      <c r="L47" s="36"/>
      <c r="M47" s="37"/>
    </row>
    <row r="48" spans="2:13">
      <c r="B48" s="40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5"/>
    </row>
    <row r="49" spans="2:13">
      <c r="B49" s="52" t="s">
        <v>54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9"/>
    </row>
    <row r="50" spans="2:13" ht="24.75" customHeight="1">
      <c r="B50" s="35" t="s">
        <v>24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</row>
    <row r="51" spans="2:13" ht="24.75" customHeight="1">
      <c r="B51" s="35" t="s">
        <v>55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7"/>
    </row>
    <row r="52" spans="2:13" ht="24.75" customHeight="1">
      <c r="B52" s="35" t="s">
        <v>56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7"/>
    </row>
    <row r="53" spans="2:13" ht="24.75" customHeight="1">
      <c r="B53" s="35" t="s">
        <v>25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7"/>
    </row>
    <row r="54" spans="2:13">
      <c r="B54" s="2"/>
      <c r="C54" s="3"/>
      <c r="D54" s="3"/>
      <c r="E54" s="3"/>
      <c r="F54" s="3"/>
      <c r="G54" s="3"/>
      <c r="H54" s="3"/>
      <c r="I54" s="3"/>
      <c r="J54" s="3"/>
      <c r="K54" s="3"/>
      <c r="L54" s="3"/>
      <c r="M54" s="4"/>
    </row>
    <row r="55" spans="2:13">
      <c r="B55" s="32" t="s">
        <v>50</v>
      </c>
      <c r="C55" s="33"/>
      <c r="D55" s="33"/>
      <c r="E55" s="33" t="s">
        <v>26</v>
      </c>
      <c r="F55" s="33"/>
      <c r="G55" s="33"/>
      <c r="H55" s="33"/>
      <c r="I55" s="33"/>
      <c r="J55" s="33"/>
      <c r="K55" s="33"/>
      <c r="L55" s="33"/>
      <c r="M55" s="19"/>
    </row>
    <row r="56" spans="2:13">
      <c r="B56" s="25" t="s">
        <v>53</v>
      </c>
      <c r="C56" s="26"/>
      <c r="D56" s="26"/>
      <c r="E56" s="28"/>
      <c r="F56" s="26"/>
      <c r="G56" s="26"/>
      <c r="H56" s="26"/>
      <c r="I56" s="26"/>
      <c r="J56" s="26"/>
      <c r="K56" s="26"/>
      <c r="L56" s="26"/>
      <c r="M56" s="19"/>
    </row>
    <row r="57" spans="2:13">
      <c r="B57" s="16" t="s">
        <v>27</v>
      </c>
      <c r="C57" s="76">
        <f ca="1">TODAY()</f>
        <v>42338</v>
      </c>
      <c r="D57" s="76"/>
      <c r="E57" s="29" t="s">
        <v>52</v>
      </c>
      <c r="F57" s="17"/>
      <c r="G57" s="17"/>
      <c r="H57" s="17" t="s">
        <v>28</v>
      </c>
      <c r="I57" s="17"/>
      <c r="J57" s="17"/>
      <c r="K57" s="17"/>
      <c r="L57" s="17"/>
      <c r="M57" s="18" t="s">
        <v>51</v>
      </c>
    </row>
    <row r="58" spans="2:13" ht="25.5" hidden="1">
      <c r="B58" s="6" t="s">
        <v>14</v>
      </c>
      <c r="C58" s="1" t="s">
        <v>67</v>
      </c>
      <c r="D58" s="7" t="s">
        <v>2</v>
      </c>
      <c r="E58" s="8" t="s">
        <v>3</v>
      </c>
      <c r="F58" s="1" t="s">
        <v>57</v>
      </c>
    </row>
    <row r="59" spans="2:13" hidden="1">
      <c r="B59" s="6" t="s">
        <v>0</v>
      </c>
      <c r="C59" s="1" t="s">
        <v>64</v>
      </c>
      <c r="D59" s="6" t="s">
        <v>4</v>
      </c>
      <c r="E59" s="6">
        <v>880</v>
      </c>
      <c r="F59" s="1" t="s">
        <v>58</v>
      </c>
    </row>
    <row r="60" spans="2:13" ht="25.5" hidden="1">
      <c r="B60" s="6" t="s">
        <v>12</v>
      </c>
      <c r="C60" s="1" t="s">
        <v>65</v>
      </c>
      <c r="D60" s="6" t="s">
        <v>5</v>
      </c>
      <c r="E60" s="6">
        <v>910</v>
      </c>
    </row>
    <row r="61" spans="2:13" hidden="1">
      <c r="B61" s="6" t="s">
        <v>13</v>
      </c>
      <c r="C61" s="1" t="s">
        <v>66</v>
      </c>
      <c r="D61" s="6" t="s">
        <v>1</v>
      </c>
      <c r="E61" s="6">
        <v>910</v>
      </c>
    </row>
    <row r="62" spans="2:13" ht="25.5" hidden="1">
      <c r="B62" s="6" t="s">
        <v>11</v>
      </c>
      <c r="C62" s="1" t="s">
        <v>63</v>
      </c>
      <c r="D62" s="6" t="s">
        <v>6</v>
      </c>
      <c r="E62" s="6">
        <v>910</v>
      </c>
    </row>
    <row r="63" spans="2:13" hidden="1">
      <c r="B63" s="6"/>
      <c r="D63" s="6" t="s">
        <v>7</v>
      </c>
      <c r="E63" s="6">
        <v>660</v>
      </c>
    </row>
    <row r="64" spans="2:13" hidden="1">
      <c r="D64" s="6" t="s">
        <v>8</v>
      </c>
      <c r="E64" s="6">
        <v>660</v>
      </c>
    </row>
    <row r="65" spans="4:5" hidden="1">
      <c r="D65" s="6" t="s">
        <v>9</v>
      </c>
      <c r="E65" s="6">
        <v>660</v>
      </c>
    </row>
    <row r="66" spans="4:5" hidden="1">
      <c r="D66" s="6" t="s">
        <v>10</v>
      </c>
      <c r="E66" s="6">
        <v>880</v>
      </c>
    </row>
    <row r="67" spans="4:5" hidden="1">
      <c r="D67" s="6" t="s">
        <v>59</v>
      </c>
      <c r="E67" s="6">
        <v>880</v>
      </c>
    </row>
    <row r="68" spans="4:5" hidden="1">
      <c r="D68" s="6" t="s">
        <v>60</v>
      </c>
      <c r="E68" s="6">
        <v>880</v>
      </c>
    </row>
    <row r="69" spans="4:5" hidden="1"/>
    <row r="70" spans="4:5" hidden="1"/>
  </sheetData>
  <protectedRanges>
    <protectedRange sqref="F27 D11 D13 H13 D17 F21 F25 D28 C4:C7" name="Rozstęp1"/>
  </protectedRanges>
  <mergeCells count="11">
    <mergeCell ref="C57:D57"/>
    <mergeCell ref="D13:E13"/>
    <mergeCell ref="H13:L13"/>
    <mergeCell ref="C7:L7"/>
    <mergeCell ref="J2:M2"/>
    <mergeCell ref="D11:E11"/>
    <mergeCell ref="B28:C28"/>
    <mergeCell ref="B30:C30"/>
    <mergeCell ref="F27:L27"/>
    <mergeCell ref="F21:G21"/>
    <mergeCell ref="C8:M8"/>
  </mergeCells>
  <dataValidations count="3">
    <dataValidation type="list" allowBlank="1" showInputMessage="1" showErrorMessage="1" sqref="C7">
      <formula1>Handlowcy</formula1>
    </dataValidation>
    <dataValidation type="list" allowBlank="1" showInputMessage="1" showErrorMessage="1" sqref="D11">
      <formula1>$D$59:$D$68</formula1>
    </dataValidation>
    <dataValidation type="list" allowBlank="1" showInputMessage="1" showErrorMessage="1" sqref="F27 F21">
      <formula1>$F$58:$F$59</formula1>
    </dataValidation>
  </dataValidations>
  <pageMargins left="0.7" right="0.7" top="0.75" bottom="0.75" header="0.3" footer="0.3"/>
  <pageSetup paperSize="9" scale="85" orientation="portrait" r:id="rId1"/>
  <drawing r:id="rId2"/>
  <legacyDrawing r:id="rId3"/>
  <controls>
    <mc:AlternateContent xmlns:mc="http://schemas.openxmlformats.org/markup-compatibility/2006">
      <mc:Choice Requires="x14">
        <control shapeId="2080" r:id="rId4" name="CheckBox11">
          <controlPr locked="0" defaultSize="0" autoLine="0" r:id="rId5">
            <anchor moveWithCells="1">
              <from>
                <xdr:col>4</xdr:col>
                <xdr:colOff>133350</xdr:colOff>
                <xdr:row>26</xdr:row>
                <xdr:rowOff>0</xdr:rowOff>
              </from>
              <to>
                <xdr:col>5</xdr:col>
                <xdr:colOff>152400</xdr:colOff>
                <xdr:row>26</xdr:row>
                <xdr:rowOff>295275</xdr:rowOff>
              </to>
            </anchor>
          </controlPr>
        </control>
      </mc:Choice>
      <mc:Fallback>
        <control shapeId="2080" r:id="rId4" name="CheckBox11"/>
      </mc:Fallback>
    </mc:AlternateContent>
    <mc:AlternateContent xmlns:mc="http://schemas.openxmlformats.org/markup-compatibility/2006">
      <mc:Choice Requires="x14">
        <control shapeId="2079" r:id="rId6" name="CheckBox10">
          <controlPr locked="0" defaultSize="0" autoLine="0" linkedCell="N9" r:id="rId7">
            <anchor moveWithCells="1">
              <from>
                <xdr:col>2</xdr:col>
                <xdr:colOff>676275</xdr:colOff>
                <xdr:row>26</xdr:row>
                <xdr:rowOff>0</xdr:rowOff>
              </from>
              <to>
                <xdr:col>4</xdr:col>
                <xdr:colOff>133350</xdr:colOff>
                <xdr:row>26</xdr:row>
                <xdr:rowOff>295275</xdr:rowOff>
              </to>
            </anchor>
          </controlPr>
        </control>
      </mc:Choice>
      <mc:Fallback>
        <control shapeId="2079" r:id="rId6" name="CheckBox10"/>
      </mc:Fallback>
    </mc:AlternateContent>
    <mc:AlternateContent xmlns:mc="http://schemas.openxmlformats.org/markup-compatibility/2006">
      <mc:Choice Requires="x14">
        <control shapeId="2078" r:id="rId8" name="CheckBox9">
          <controlPr locked="0" defaultSize="0" autoLine="0" r:id="rId9">
            <anchor moveWithCells="1">
              <from>
                <xdr:col>4</xdr:col>
                <xdr:colOff>133350</xdr:colOff>
                <xdr:row>24</xdr:row>
                <xdr:rowOff>0</xdr:rowOff>
              </from>
              <to>
                <xdr:col>5</xdr:col>
                <xdr:colOff>152400</xdr:colOff>
                <xdr:row>26</xdr:row>
                <xdr:rowOff>9525</xdr:rowOff>
              </to>
            </anchor>
          </controlPr>
        </control>
      </mc:Choice>
      <mc:Fallback>
        <control shapeId="2078" r:id="rId8" name="CheckBox9"/>
      </mc:Fallback>
    </mc:AlternateContent>
    <mc:AlternateContent xmlns:mc="http://schemas.openxmlformats.org/markup-compatibility/2006">
      <mc:Choice Requires="x14">
        <control shapeId="2077" r:id="rId10" name="CheckBox8">
          <controlPr locked="0" defaultSize="0" autoLine="0" linkedCell="N8" r:id="rId11">
            <anchor moveWithCells="1">
              <from>
                <xdr:col>2</xdr:col>
                <xdr:colOff>676275</xdr:colOff>
                <xdr:row>24</xdr:row>
                <xdr:rowOff>0</xdr:rowOff>
              </from>
              <to>
                <xdr:col>4</xdr:col>
                <xdr:colOff>133350</xdr:colOff>
                <xdr:row>26</xdr:row>
                <xdr:rowOff>9525</xdr:rowOff>
              </to>
            </anchor>
          </controlPr>
        </control>
      </mc:Choice>
      <mc:Fallback>
        <control shapeId="2077" r:id="rId10" name="CheckBox8"/>
      </mc:Fallback>
    </mc:AlternateContent>
    <mc:AlternateContent xmlns:mc="http://schemas.openxmlformats.org/markup-compatibility/2006">
      <mc:Choice Requires="x14">
        <control shapeId="2076" r:id="rId12" name="CheckBox7">
          <controlPr locked="0" defaultSize="0" autoLine="0" linkedCell="N7" r:id="rId13">
            <anchor moveWithCells="1">
              <from>
                <xdr:col>5</xdr:col>
                <xdr:colOff>9525</xdr:colOff>
                <xdr:row>21</xdr:row>
                <xdr:rowOff>123825</xdr:rowOff>
              </from>
              <to>
                <xdr:col>6</xdr:col>
                <xdr:colOff>95250</xdr:colOff>
                <xdr:row>23</xdr:row>
                <xdr:rowOff>57150</xdr:rowOff>
              </to>
            </anchor>
          </controlPr>
        </control>
      </mc:Choice>
      <mc:Fallback>
        <control shapeId="2076" r:id="rId12" name="CheckBox7"/>
      </mc:Fallback>
    </mc:AlternateContent>
    <mc:AlternateContent xmlns:mc="http://schemas.openxmlformats.org/markup-compatibility/2006">
      <mc:Choice Requires="x14">
        <control shapeId="2075" r:id="rId14" name="CheckBox6">
          <controlPr locked="0" defaultSize="0" autoLine="0" linkedCell="N6" r:id="rId15">
            <anchor moveWithCells="1">
              <from>
                <xdr:col>4</xdr:col>
                <xdr:colOff>133350</xdr:colOff>
                <xdr:row>21</xdr:row>
                <xdr:rowOff>133350</xdr:rowOff>
              </from>
              <to>
                <xdr:col>4</xdr:col>
                <xdr:colOff>704850</xdr:colOff>
                <xdr:row>23</xdr:row>
                <xdr:rowOff>66675</xdr:rowOff>
              </to>
            </anchor>
          </controlPr>
        </control>
      </mc:Choice>
      <mc:Fallback>
        <control shapeId="2075" r:id="rId14" name="CheckBox6"/>
      </mc:Fallback>
    </mc:AlternateContent>
    <mc:AlternateContent xmlns:mc="http://schemas.openxmlformats.org/markup-compatibility/2006">
      <mc:Choice Requires="x14">
        <control shapeId="2074" r:id="rId16" name="CheckBox5">
          <controlPr locked="0" defaultSize="0" autoLine="0" linkedCell="N5" r:id="rId17">
            <anchor moveWithCells="1">
              <from>
                <xdr:col>2</xdr:col>
                <xdr:colOff>676275</xdr:colOff>
                <xdr:row>21</xdr:row>
                <xdr:rowOff>123825</xdr:rowOff>
              </from>
              <to>
                <xdr:col>4</xdr:col>
                <xdr:colOff>133350</xdr:colOff>
                <xdr:row>23</xdr:row>
                <xdr:rowOff>57150</xdr:rowOff>
              </to>
            </anchor>
          </controlPr>
        </control>
      </mc:Choice>
      <mc:Fallback>
        <control shapeId="2074" r:id="rId16" name="CheckBox5"/>
      </mc:Fallback>
    </mc:AlternateContent>
    <mc:AlternateContent xmlns:mc="http://schemas.openxmlformats.org/markup-compatibility/2006">
      <mc:Choice Requires="x14">
        <control shapeId="2073" r:id="rId18" name="CheckBox4">
          <controlPr locked="0" defaultSize="0" autoLine="0" linkedCell="N4" r:id="rId19">
            <anchor moveWithCells="1">
              <from>
                <xdr:col>4</xdr:col>
                <xdr:colOff>123825</xdr:colOff>
                <xdr:row>19</xdr:row>
                <xdr:rowOff>142875</xdr:rowOff>
              </from>
              <to>
                <xdr:col>5</xdr:col>
                <xdr:colOff>142875</xdr:colOff>
                <xdr:row>21</xdr:row>
                <xdr:rowOff>76200</xdr:rowOff>
              </to>
            </anchor>
          </controlPr>
        </control>
      </mc:Choice>
      <mc:Fallback>
        <control shapeId="2073" r:id="rId18" name="CheckBox4"/>
      </mc:Fallback>
    </mc:AlternateContent>
    <mc:AlternateContent xmlns:mc="http://schemas.openxmlformats.org/markup-compatibility/2006">
      <mc:Choice Requires="x14">
        <control shapeId="2072" r:id="rId20" name="CheckBox3">
          <controlPr locked="0" defaultSize="0" autoLine="0" linkedCell="N3" r:id="rId21">
            <anchor moveWithCells="1">
              <from>
                <xdr:col>2</xdr:col>
                <xdr:colOff>666750</xdr:colOff>
                <xdr:row>19</xdr:row>
                <xdr:rowOff>133350</xdr:rowOff>
              </from>
              <to>
                <xdr:col>4</xdr:col>
                <xdr:colOff>314325</xdr:colOff>
                <xdr:row>21</xdr:row>
                <xdr:rowOff>95250</xdr:rowOff>
              </to>
            </anchor>
          </controlPr>
        </control>
      </mc:Choice>
      <mc:Fallback>
        <control shapeId="2072" r:id="rId20" name="CheckBox3"/>
      </mc:Fallback>
    </mc:AlternateContent>
    <mc:AlternateContent xmlns:mc="http://schemas.openxmlformats.org/markup-compatibility/2006">
      <mc:Choice Requires="x14">
        <control shapeId="2070" r:id="rId22" name="CheckBox2">
          <controlPr locked="0" defaultSize="0" autoLine="0" linkedCell="N2" r:id="rId23">
            <anchor moveWithCells="1">
              <from>
                <xdr:col>4</xdr:col>
                <xdr:colOff>142875</xdr:colOff>
                <xdr:row>17</xdr:row>
                <xdr:rowOff>133350</xdr:rowOff>
              </from>
              <to>
                <xdr:col>5</xdr:col>
                <xdr:colOff>161925</xdr:colOff>
                <xdr:row>19</xdr:row>
                <xdr:rowOff>66675</xdr:rowOff>
              </to>
            </anchor>
          </controlPr>
        </control>
      </mc:Choice>
      <mc:Fallback>
        <control shapeId="2070" r:id="rId22" name="CheckBox2"/>
      </mc:Fallback>
    </mc:AlternateContent>
    <mc:AlternateContent xmlns:mc="http://schemas.openxmlformats.org/markup-compatibility/2006">
      <mc:Choice Requires="x14">
        <control shapeId="2068" r:id="rId24" name="CheckBox1">
          <controlPr locked="0" defaultSize="0" autoLine="0" linkedCell="N1" r:id="rId25">
            <anchor moveWithCells="1">
              <from>
                <xdr:col>3</xdr:col>
                <xdr:colOff>0</xdr:colOff>
                <xdr:row>17</xdr:row>
                <xdr:rowOff>123825</xdr:rowOff>
              </from>
              <to>
                <xdr:col>4</xdr:col>
                <xdr:colOff>142875</xdr:colOff>
                <xdr:row>19</xdr:row>
                <xdr:rowOff>57150</xdr:rowOff>
              </to>
            </anchor>
          </controlPr>
        </control>
      </mc:Choice>
      <mc:Fallback>
        <control shapeId="2068" r:id="rId24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AS26"/>
  <sheetViews>
    <sheetView view="pageBreakPreview" zoomScale="130" zoomScaleNormal="145" zoomScaleSheetLayoutView="130" workbookViewId="0">
      <selection sqref="A1:L26"/>
    </sheetView>
  </sheetViews>
  <sheetFormatPr defaultRowHeight="15"/>
  <cols>
    <col min="1" max="1" width="12.625" style="60" customWidth="1"/>
    <col min="2" max="4" width="6.375" style="60" customWidth="1"/>
    <col min="5" max="5" width="14" style="60" customWidth="1"/>
    <col min="6" max="8" width="6.375" style="60" customWidth="1"/>
    <col min="9" max="9" width="11.5" style="60" customWidth="1"/>
    <col min="10" max="12" width="6.375" style="60" customWidth="1"/>
    <col min="13" max="16384" width="9" style="60"/>
  </cols>
  <sheetData>
    <row r="1" spans="1:45" ht="15" customHeight="1">
      <c r="A1" s="101"/>
      <c r="B1" s="101"/>
      <c r="C1" s="102" t="s">
        <v>73</v>
      </c>
      <c r="D1" s="102"/>
      <c r="E1" s="102"/>
      <c r="F1" s="102"/>
      <c r="G1" s="102"/>
      <c r="H1" s="102"/>
      <c r="I1" s="99" t="s">
        <v>74</v>
      </c>
      <c r="J1" s="99"/>
      <c r="K1" s="106" t="s">
        <v>75</v>
      </c>
      <c r="L1" s="106"/>
    </row>
    <row r="2" spans="1:45">
      <c r="A2" s="101"/>
      <c r="B2" s="101"/>
      <c r="C2" s="102"/>
      <c r="D2" s="102"/>
      <c r="E2" s="102"/>
      <c r="F2" s="102"/>
      <c r="G2" s="102"/>
      <c r="H2" s="102"/>
      <c r="I2" s="100" t="s">
        <v>76</v>
      </c>
      <c r="J2" s="100"/>
      <c r="K2" s="99" t="s">
        <v>77</v>
      </c>
      <c r="L2" s="99"/>
    </row>
    <row r="3" spans="1:45" ht="13.5" customHeight="1">
      <c r="A3" s="101"/>
      <c r="B3" s="101"/>
      <c r="C3" s="99" t="s">
        <v>78</v>
      </c>
      <c r="D3" s="99"/>
      <c r="E3" s="99"/>
      <c r="F3" s="99"/>
      <c r="G3" s="99"/>
      <c r="H3" s="99"/>
      <c r="I3" s="100" t="s">
        <v>79</v>
      </c>
      <c r="J3" s="100"/>
      <c r="K3" s="99" t="s">
        <v>80</v>
      </c>
      <c r="L3" s="99"/>
    </row>
    <row r="4" spans="1:45" ht="15.75" thickBot="1"/>
    <row r="5" spans="1:45" ht="25.5" customHeight="1">
      <c r="A5" s="123" t="s">
        <v>81</v>
      </c>
      <c r="B5" s="124"/>
      <c r="C5" s="124"/>
      <c r="D5" s="125"/>
      <c r="E5" s="116" t="s">
        <v>82</v>
      </c>
      <c r="F5" s="117"/>
      <c r="G5" s="118"/>
      <c r="H5" s="69"/>
      <c r="I5" s="98" t="s">
        <v>83</v>
      </c>
      <c r="J5" s="98"/>
      <c r="K5" s="111"/>
      <c r="L5" s="112"/>
    </row>
    <row r="6" spans="1:45">
      <c r="A6" s="91" t="s">
        <v>84</v>
      </c>
      <c r="B6" s="92"/>
      <c r="C6" s="92"/>
      <c r="D6" s="92"/>
      <c r="E6" s="92"/>
      <c r="F6" s="92"/>
      <c r="G6" s="92"/>
      <c r="H6" s="92"/>
      <c r="I6" s="92"/>
      <c r="J6" s="92" t="s">
        <v>85</v>
      </c>
      <c r="K6" s="92"/>
      <c r="L6" s="105"/>
    </row>
    <row r="7" spans="1:45" s="66" customFormat="1" ht="18.75" customHeight="1">
      <c r="A7" s="103" t="s">
        <v>86</v>
      </c>
      <c r="B7" s="104"/>
      <c r="C7" s="104"/>
      <c r="D7" s="104"/>
      <c r="E7" s="104"/>
      <c r="F7" s="104"/>
      <c r="G7" s="104"/>
      <c r="H7" s="104"/>
      <c r="I7" s="104"/>
      <c r="J7" s="68" t="s">
        <v>87</v>
      </c>
      <c r="K7" s="67" t="s">
        <v>88</v>
      </c>
      <c r="L7" s="65" t="s">
        <v>89</v>
      </c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</row>
    <row r="8" spans="1:45" s="66" customFormat="1" ht="18.75" customHeight="1">
      <c r="A8" s="103" t="s">
        <v>90</v>
      </c>
      <c r="B8" s="104"/>
      <c r="C8" s="104"/>
      <c r="D8" s="104"/>
      <c r="E8" s="104"/>
      <c r="F8" s="104"/>
      <c r="G8" s="104"/>
      <c r="H8" s="104"/>
      <c r="I8" s="104"/>
      <c r="J8" s="68" t="s">
        <v>87</v>
      </c>
      <c r="K8" s="67" t="s">
        <v>88</v>
      </c>
      <c r="L8" s="65" t="s">
        <v>89</v>
      </c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60"/>
      <c r="AH8" s="60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</row>
    <row r="9" spans="1:45" s="66" customFormat="1" ht="18.75" customHeight="1">
      <c r="A9" s="113" t="s">
        <v>91</v>
      </c>
      <c r="B9" s="114"/>
      <c r="C9" s="114"/>
      <c r="D9" s="114"/>
      <c r="E9" s="114"/>
      <c r="F9" s="114"/>
      <c r="G9" s="114"/>
      <c r="H9" s="114"/>
      <c r="I9" s="115"/>
      <c r="J9" s="68" t="s">
        <v>87</v>
      </c>
      <c r="K9" s="67" t="s">
        <v>88</v>
      </c>
      <c r="L9" s="65" t="s">
        <v>89</v>
      </c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60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</row>
    <row r="10" spans="1:45" s="66" customFormat="1" ht="18.75" customHeight="1">
      <c r="A10" s="103" t="s">
        <v>92</v>
      </c>
      <c r="B10" s="104"/>
      <c r="C10" s="104"/>
      <c r="D10" s="104"/>
      <c r="E10" s="104"/>
      <c r="F10" s="104"/>
      <c r="G10" s="104"/>
      <c r="H10" s="104"/>
      <c r="I10" s="104"/>
      <c r="J10" s="68" t="s">
        <v>87</v>
      </c>
      <c r="K10" s="67" t="s">
        <v>88</v>
      </c>
      <c r="L10" s="65" t="s">
        <v>89</v>
      </c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</row>
    <row r="11" spans="1:45" ht="43.5" customHeight="1">
      <c r="A11" s="91" t="s">
        <v>93</v>
      </c>
      <c r="B11" s="92"/>
      <c r="C11" s="92"/>
      <c r="D11" s="92"/>
      <c r="E11" s="93"/>
      <c r="F11" s="93"/>
      <c r="G11" s="93"/>
      <c r="H11" s="93"/>
      <c r="I11" s="93"/>
      <c r="J11" s="93"/>
      <c r="K11" s="93"/>
      <c r="L11" s="94"/>
    </row>
    <row r="12" spans="1:45" ht="32.25" thickBot="1">
      <c r="A12" s="107" t="s">
        <v>94</v>
      </c>
      <c r="B12" s="108"/>
      <c r="C12" s="108"/>
      <c r="D12" s="108"/>
      <c r="E12" s="108"/>
      <c r="F12" s="64" t="s">
        <v>87</v>
      </c>
      <c r="G12" s="63" t="s">
        <v>88</v>
      </c>
      <c r="H12" s="62" t="s">
        <v>89</v>
      </c>
      <c r="I12" s="61" t="s">
        <v>95</v>
      </c>
      <c r="J12" s="109"/>
      <c r="K12" s="109"/>
      <c r="L12" s="110"/>
    </row>
    <row r="13" spans="1:45" ht="21.75" thickBot="1">
      <c r="A13" s="75"/>
      <c r="B13" s="75"/>
      <c r="C13" s="75"/>
      <c r="D13" s="75"/>
      <c r="E13" s="75"/>
      <c r="F13" s="74"/>
      <c r="G13" s="73"/>
      <c r="H13" s="72"/>
      <c r="I13" s="71"/>
      <c r="J13" s="70"/>
      <c r="K13" s="70"/>
      <c r="L13" s="70"/>
    </row>
    <row r="14" spans="1:45" ht="23.25" customHeight="1">
      <c r="A14" s="123" t="s">
        <v>96</v>
      </c>
      <c r="B14" s="124"/>
      <c r="C14" s="124"/>
      <c r="D14" s="125"/>
      <c r="E14" s="116" t="s">
        <v>82</v>
      </c>
      <c r="F14" s="117"/>
      <c r="G14" s="118"/>
      <c r="H14" s="69"/>
      <c r="I14" s="98" t="s">
        <v>83</v>
      </c>
      <c r="J14" s="98"/>
      <c r="K14" s="111"/>
      <c r="L14" s="112"/>
    </row>
    <row r="15" spans="1:45">
      <c r="A15" s="91" t="s">
        <v>84</v>
      </c>
      <c r="B15" s="92"/>
      <c r="C15" s="92"/>
      <c r="D15" s="92"/>
      <c r="E15" s="92"/>
      <c r="F15" s="92"/>
      <c r="G15" s="92"/>
      <c r="H15" s="92"/>
      <c r="I15" s="92"/>
      <c r="J15" s="92" t="s">
        <v>85</v>
      </c>
      <c r="K15" s="92"/>
      <c r="L15" s="105"/>
    </row>
    <row r="16" spans="1:45" s="66" customFormat="1" ht="18.75" customHeight="1">
      <c r="A16" s="126" t="s">
        <v>97</v>
      </c>
      <c r="B16" s="127"/>
      <c r="C16" s="127"/>
      <c r="D16" s="127"/>
      <c r="E16" s="127"/>
      <c r="F16" s="127"/>
      <c r="G16" s="127"/>
      <c r="H16" s="127"/>
      <c r="I16" s="127"/>
      <c r="J16" s="68" t="s">
        <v>87</v>
      </c>
      <c r="K16" s="67" t="s">
        <v>88</v>
      </c>
      <c r="L16" s="65" t="s">
        <v>89</v>
      </c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60"/>
      <c r="AE16" s="60"/>
      <c r="AF16" s="60"/>
      <c r="AG16" s="60"/>
      <c r="AH16" s="60"/>
      <c r="AI16" s="60"/>
      <c r="AJ16" s="60"/>
      <c r="AK16" s="60"/>
      <c r="AL16" s="60"/>
      <c r="AM16" s="60"/>
      <c r="AN16" s="60"/>
      <c r="AO16" s="60"/>
      <c r="AP16" s="60"/>
      <c r="AQ16" s="60"/>
      <c r="AR16" s="60"/>
      <c r="AS16" s="60"/>
    </row>
    <row r="17" spans="1:45">
      <c r="A17" s="91" t="s">
        <v>98</v>
      </c>
      <c r="B17" s="92"/>
      <c r="C17" s="92"/>
      <c r="D17" s="92"/>
      <c r="E17" s="95"/>
      <c r="F17" s="96"/>
      <c r="G17" s="96"/>
      <c r="H17" s="96"/>
      <c r="I17" s="96"/>
      <c r="J17" s="96"/>
      <c r="K17" s="96"/>
      <c r="L17" s="97"/>
    </row>
    <row r="18" spans="1:45" ht="18.75" customHeight="1" thickBot="1">
      <c r="A18" s="107" t="s">
        <v>94</v>
      </c>
      <c r="B18" s="108"/>
      <c r="C18" s="108"/>
      <c r="D18" s="108"/>
      <c r="E18" s="108"/>
      <c r="F18" s="64" t="s">
        <v>87</v>
      </c>
      <c r="G18" s="63" t="s">
        <v>88</v>
      </c>
      <c r="H18" s="62" t="s">
        <v>89</v>
      </c>
      <c r="I18" s="61" t="s">
        <v>95</v>
      </c>
      <c r="J18" s="109"/>
      <c r="K18" s="109"/>
      <c r="L18" s="110"/>
    </row>
    <row r="19" spans="1:45" ht="15.75" thickBot="1"/>
    <row r="20" spans="1:45" s="66" customFormat="1" ht="18.75" customHeight="1">
      <c r="A20" s="119" t="s">
        <v>99</v>
      </c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1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60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60"/>
      <c r="AQ20" s="60"/>
      <c r="AR20" s="60"/>
      <c r="AS20" s="60"/>
    </row>
    <row r="21" spans="1:45" s="66" customFormat="1" ht="18.75" customHeight="1">
      <c r="A21" s="91" t="s">
        <v>84</v>
      </c>
      <c r="B21" s="92"/>
      <c r="C21" s="92"/>
      <c r="D21" s="92"/>
      <c r="E21" s="92"/>
      <c r="F21" s="92"/>
      <c r="G21" s="92"/>
      <c r="H21" s="92"/>
      <c r="I21" s="92"/>
      <c r="J21" s="92" t="s">
        <v>85</v>
      </c>
      <c r="K21" s="92"/>
      <c r="L21" s="105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  <c r="X21" s="60"/>
      <c r="Y21" s="60"/>
      <c r="Z21" s="60"/>
      <c r="AA21" s="60"/>
      <c r="AB21" s="60"/>
      <c r="AC21" s="60"/>
      <c r="AD21" s="60"/>
      <c r="AE21" s="60"/>
      <c r="AF21" s="60"/>
      <c r="AG21" s="60"/>
      <c r="AH21" s="60"/>
      <c r="AI21" s="60"/>
      <c r="AJ21" s="60"/>
      <c r="AK21" s="60"/>
      <c r="AL21" s="60"/>
      <c r="AM21" s="60"/>
      <c r="AN21" s="60"/>
      <c r="AO21" s="60"/>
      <c r="AP21" s="60"/>
      <c r="AQ21" s="60"/>
      <c r="AR21" s="60"/>
      <c r="AS21" s="60"/>
    </row>
    <row r="22" spans="1:45" s="66" customFormat="1" ht="18.75" customHeight="1">
      <c r="A22" s="103" t="s">
        <v>100</v>
      </c>
      <c r="B22" s="104"/>
      <c r="C22" s="104"/>
      <c r="D22" s="104"/>
      <c r="E22" s="104"/>
      <c r="F22" s="104"/>
      <c r="G22" s="104"/>
      <c r="H22" s="104"/>
      <c r="I22" s="104"/>
      <c r="J22" s="68" t="s">
        <v>87</v>
      </c>
      <c r="K22" s="67" t="s">
        <v>88</v>
      </c>
      <c r="L22" s="65" t="s">
        <v>89</v>
      </c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60"/>
      <c r="AG22" s="60"/>
      <c r="AH22" s="60"/>
      <c r="AI22" s="60"/>
      <c r="AJ22" s="60"/>
      <c r="AK22" s="60"/>
      <c r="AL22" s="60"/>
      <c r="AM22" s="60"/>
      <c r="AN22" s="60"/>
      <c r="AO22" s="60"/>
      <c r="AP22" s="60"/>
      <c r="AQ22" s="60"/>
      <c r="AR22" s="60"/>
      <c r="AS22" s="60"/>
    </row>
    <row r="23" spans="1:45" ht="17.25" customHeight="1">
      <c r="A23" s="103" t="s">
        <v>101</v>
      </c>
      <c r="B23" s="104"/>
      <c r="C23" s="104"/>
      <c r="D23" s="104"/>
      <c r="E23" s="104"/>
      <c r="F23" s="104"/>
      <c r="G23" s="104"/>
      <c r="H23" s="104"/>
      <c r="I23" s="104"/>
      <c r="J23" s="122" t="s">
        <v>87</v>
      </c>
      <c r="K23" s="122"/>
      <c r="L23" s="65" t="s">
        <v>89</v>
      </c>
    </row>
    <row r="24" spans="1:45">
      <c r="A24" s="103" t="s">
        <v>102</v>
      </c>
      <c r="B24" s="104"/>
      <c r="C24" s="104"/>
      <c r="D24" s="104"/>
      <c r="E24" s="104"/>
      <c r="F24" s="104"/>
      <c r="G24" s="104"/>
      <c r="H24" s="104"/>
      <c r="I24" s="104"/>
      <c r="J24" s="122" t="s">
        <v>87</v>
      </c>
      <c r="K24" s="122"/>
      <c r="L24" s="65" t="s">
        <v>89</v>
      </c>
    </row>
    <row r="25" spans="1:45" ht="35.25" customHeight="1">
      <c r="A25" s="91" t="s">
        <v>93</v>
      </c>
      <c r="B25" s="92"/>
      <c r="C25" s="92"/>
      <c r="D25" s="92"/>
      <c r="E25" s="93"/>
      <c r="F25" s="93"/>
      <c r="G25" s="93"/>
      <c r="H25" s="93"/>
      <c r="I25" s="93"/>
      <c r="J25" s="93"/>
      <c r="K25" s="93"/>
      <c r="L25" s="94"/>
    </row>
    <row r="26" spans="1:45" ht="32.25" thickBot="1">
      <c r="A26" s="107" t="s">
        <v>94</v>
      </c>
      <c r="B26" s="108"/>
      <c r="C26" s="108"/>
      <c r="D26" s="108"/>
      <c r="E26" s="108"/>
      <c r="F26" s="64" t="s">
        <v>87</v>
      </c>
      <c r="G26" s="63" t="s">
        <v>88</v>
      </c>
      <c r="H26" s="62" t="s">
        <v>89</v>
      </c>
      <c r="I26" s="61" t="s">
        <v>95</v>
      </c>
      <c r="J26" s="109"/>
      <c r="K26" s="109"/>
      <c r="L26" s="110"/>
    </row>
  </sheetData>
  <mergeCells count="46">
    <mergeCell ref="E14:G14"/>
    <mergeCell ref="I14:J14"/>
    <mergeCell ref="A16:I16"/>
    <mergeCell ref="K3:L3"/>
    <mergeCell ref="K5:L5"/>
    <mergeCell ref="A6:I6"/>
    <mergeCell ref="J6:L6"/>
    <mergeCell ref="A7:I7"/>
    <mergeCell ref="A26:E26"/>
    <mergeCell ref="J26:L26"/>
    <mergeCell ref="A20:L20"/>
    <mergeCell ref="J21:L21"/>
    <mergeCell ref="J23:K23"/>
    <mergeCell ref="J24:K24"/>
    <mergeCell ref="K2:L2"/>
    <mergeCell ref="A18:E18"/>
    <mergeCell ref="J18:L18"/>
    <mergeCell ref="A17:D17"/>
    <mergeCell ref="A15:I15"/>
    <mergeCell ref="K14:L14"/>
    <mergeCell ref="A9:I9"/>
    <mergeCell ref="E5:G5"/>
    <mergeCell ref="A8:I8"/>
    <mergeCell ref="A10:I10"/>
    <mergeCell ref="A11:D11"/>
    <mergeCell ref="E11:L11"/>
    <mergeCell ref="A12:E12"/>
    <mergeCell ref="J12:L12"/>
    <mergeCell ref="A5:D5"/>
    <mergeCell ref="A14:D14"/>
    <mergeCell ref="A25:D25"/>
    <mergeCell ref="E25:L25"/>
    <mergeCell ref="E17:L17"/>
    <mergeCell ref="I5:J5"/>
    <mergeCell ref="I1:J1"/>
    <mergeCell ref="I2:J2"/>
    <mergeCell ref="I3:J3"/>
    <mergeCell ref="A1:B3"/>
    <mergeCell ref="C3:H3"/>
    <mergeCell ref="C1:H2"/>
    <mergeCell ref="A21:I21"/>
    <mergeCell ref="A24:I24"/>
    <mergeCell ref="A22:I22"/>
    <mergeCell ref="A23:I23"/>
    <mergeCell ref="J15:L15"/>
    <mergeCell ref="K1:L1"/>
  </mergeCells>
  <pageMargins left="0.7" right="0.7" top="0.75" bottom="0.75" header="0.3" footer="0.3"/>
  <pageSetup paperSize="9" scale="8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Zakresy nazwane</vt:lpstr>
      </vt:variant>
      <vt:variant>
        <vt:i4>2</vt:i4>
      </vt:variant>
    </vt:vector>
  </HeadingPairs>
  <TitlesOfParts>
    <vt:vector size="4" baseType="lpstr">
      <vt:lpstr>zlecenie TTR</vt:lpstr>
      <vt:lpstr>Arkusz1</vt:lpstr>
      <vt:lpstr>Handlowcy</vt:lpstr>
      <vt:lpstr>'zlecenie TTR'!Obszar_wydruku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_K.Mikonowicz</dc:creator>
  <cp:lastModifiedBy>JSZ</cp:lastModifiedBy>
  <cp:lastPrinted>2015-11-30T13:24:48Z</cp:lastPrinted>
  <dcterms:created xsi:type="dcterms:W3CDTF">2014-03-04T11:48:04Z</dcterms:created>
  <dcterms:modified xsi:type="dcterms:W3CDTF">2015-11-30T13:37:21Z</dcterms:modified>
</cp:coreProperties>
</file>